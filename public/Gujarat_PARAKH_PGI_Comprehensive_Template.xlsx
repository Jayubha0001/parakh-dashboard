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GI_PARAKH\PGI Parakh\main Sheet\"/>
    </mc:Choice>
  </mc:AlternateContent>
  <xr:revisionPtr revIDLastSave="0" documentId="13_ncr:1_{F59CBA03-D941-4444-9665-019E1046DFE8}" xr6:coauthVersionLast="47" xr6:coauthVersionMax="47" xr10:uidLastSave="{00000000-0000-0000-0000-000000000000}"/>
  <bookViews>
    <workbookView xWindow="-108" yWindow="-108" windowWidth="23256" windowHeight="12456" tabRatio="773" firstSheet="16" activeTab="17" xr2:uid="{00000000-000D-0000-FFFF-FFFF00000000}"/>
  </bookViews>
  <sheets>
    <sheet name="ReadMe" sheetId="1" r:id="rId1"/>
    <sheet name="Glossary" sheetId="2" r:id="rId2"/>
    <sheet name="Districts_Setup" sheetId="3" r:id="rId3"/>
    <sheet name="State_PGI_2.0" sheetId="4" r:id="rId4"/>
    <sheet name="District_PGI-D_600" sheetId="5" r:id="rId5"/>
    <sheet name="PARAKH_Foundational_G3" sheetId="6" r:id="rId6"/>
    <sheet name="PARAKH_Preparatory_G6" sheetId="7" r:id="rId7"/>
    <sheet name="PARAKH_Middle_G9" sheetId="8" r:id="rId8"/>
    <sheet name="PARAKH_Subject_Performance" sheetId="9" r:id="rId9"/>
    <sheet name="PARAKH_By_Gender" sheetId="10" r:id="rId10"/>
    <sheet name="PARAKH_By_Location" sheetId="11" r:id="rId11"/>
    <sheet name="PARAKH_By_Management" sheetId="12" r:id="rId12"/>
    <sheet name="PARAKH_By_SocialGroup" sheetId="13" r:id="rId13"/>
    <sheet name="PARAKH_Contextual_School" sheetId="14" r:id="rId14"/>
    <sheet name="PARAKH_Contextual_Teacher" sheetId="15" r:id="rId15"/>
    <sheet name="PARAKH_Contextual_Pupil_G3" sheetId="16" r:id="rId16"/>
    <sheet name="PARAKH_Contextual_Pupil_G6" sheetId="17" r:id="rId17"/>
    <sheet name="PARAKH_Contextual_Pupil_G9" sheetId="18" r:id="rId18"/>
    <sheet name="Dashboard_PGI" sheetId="19" r:id="rId19"/>
    <sheet name="Dashboard_PARAKH" sheetId="20" r:id="rId20"/>
    <sheet name="Combined_Performance_Ranking" sheetId="21" r:id="rId21"/>
    <sheet name="Grading_Scale" sheetId="22" state="hidden" r:id="rId22"/>
  </sheets>
  <definedNames>
    <definedName name="_xlnm._FilterDatabase" localSheetId="20" hidden="1">Combined_Performance_Ranking!$A$5:$H$38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P13" i="18" l="1"/>
  <c r="BQ13" i="18"/>
  <c r="E158" i="20"/>
  <c r="D158" i="20"/>
  <c r="C158" i="20"/>
  <c r="B157" i="20"/>
  <c r="B158" i="20"/>
  <c r="E6" i="21"/>
  <c r="J4" i="4"/>
  <c r="I4" i="4"/>
  <c r="AL10" i="8"/>
  <c r="H34" i="9"/>
  <c r="H72" i="20" s="1"/>
  <c r="H33" i="9"/>
  <c r="H71" i="20" s="1"/>
  <c r="AA48" i="8"/>
  <c r="H25" i="9"/>
  <c r="H63" i="20" s="1"/>
  <c r="H18" i="9"/>
  <c r="H56" i="20" s="1"/>
  <c r="H17" i="9"/>
  <c r="H55" i="20" s="1"/>
  <c r="H10" i="9"/>
  <c r="H48" i="20" s="1"/>
  <c r="H9" i="9"/>
  <c r="H47" i="20" s="1"/>
  <c r="AL8" i="7"/>
  <c r="E30" i="9"/>
  <c r="E68" i="20" s="1"/>
  <c r="E22" i="9"/>
  <c r="E60" i="20" s="1"/>
  <c r="E14" i="9"/>
  <c r="E52" i="20" s="1"/>
  <c r="G31" i="7"/>
  <c r="D31" i="9"/>
  <c r="D69" i="20" s="1"/>
  <c r="D30" i="9"/>
  <c r="D68" i="20" s="1"/>
  <c r="X30" i="7"/>
  <c r="D22" i="9"/>
  <c r="D60" i="20" s="1"/>
  <c r="D18" i="9"/>
  <c r="D56" i="20" s="1"/>
  <c r="P30" i="7"/>
  <c r="D14" i="9"/>
  <c r="D52" i="20" s="1"/>
  <c r="D7" i="9"/>
  <c r="D45" i="20" s="1"/>
  <c r="D6" i="9"/>
  <c r="D44" i="20" s="1"/>
  <c r="B30" i="9"/>
  <c r="B68" i="20" s="1"/>
  <c r="B29" i="9"/>
  <c r="B67" i="20" s="1"/>
  <c r="B22" i="9"/>
  <c r="B60" i="20" s="1"/>
  <c r="B21" i="9"/>
  <c r="B59" i="20" s="1"/>
  <c r="B14" i="9"/>
  <c r="B52" i="20" s="1"/>
  <c r="B13" i="9"/>
  <c r="B51" i="20" s="1"/>
  <c r="B6" i="9"/>
  <c r="B44" i="20" s="1"/>
  <c r="B5" i="9"/>
  <c r="B43" i="20" s="1"/>
  <c r="AN4" i="5"/>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E218" i="20"/>
  <c r="D218" i="20"/>
  <c r="C218" i="20"/>
  <c r="B218" i="20"/>
  <c r="A218" i="20"/>
  <c r="E217" i="20"/>
  <c r="D217" i="20"/>
  <c r="C217" i="20"/>
  <c r="B217" i="20"/>
  <c r="A217" i="20"/>
  <c r="E216" i="20"/>
  <c r="D216" i="20"/>
  <c r="C216" i="20"/>
  <c r="B216" i="20"/>
  <c r="F216" i="20" s="1"/>
  <c r="A216" i="20"/>
  <c r="E215" i="20"/>
  <c r="D215" i="20"/>
  <c r="C215" i="20"/>
  <c r="B215" i="20"/>
  <c r="A215" i="20"/>
  <c r="E214" i="20"/>
  <c r="D214" i="20"/>
  <c r="C214" i="20"/>
  <c r="B214" i="20"/>
  <c r="A214" i="20"/>
  <c r="E213" i="20"/>
  <c r="D213" i="20"/>
  <c r="C213" i="20"/>
  <c r="B213" i="20"/>
  <c r="A213" i="20"/>
  <c r="E212" i="20"/>
  <c r="D212" i="20"/>
  <c r="C212" i="20"/>
  <c r="B212" i="20"/>
  <c r="A212" i="20"/>
  <c r="E211" i="20"/>
  <c r="D211" i="20"/>
  <c r="C211" i="20"/>
  <c r="B211" i="20"/>
  <c r="A211" i="20"/>
  <c r="E210" i="20"/>
  <c r="D210" i="20"/>
  <c r="C210" i="20"/>
  <c r="B210" i="20"/>
  <c r="A210" i="20"/>
  <c r="E209" i="20"/>
  <c r="D209" i="20"/>
  <c r="C209" i="20"/>
  <c r="B209" i="20"/>
  <c r="A209" i="20"/>
  <c r="E208" i="20"/>
  <c r="D208" i="20"/>
  <c r="C208" i="20"/>
  <c r="B208" i="20"/>
  <c r="A208" i="20"/>
  <c r="E207" i="20"/>
  <c r="D207" i="20"/>
  <c r="C207" i="20"/>
  <c r="B207" i="20"/>
  <c r="A207" i="20"/>
  <c r="E206" i="20"/>
  <c r="D206" i="20"/>
  <c r="C206" i="20"/>
  <c r="B206" i="20"/>
  <c r="A206" i="20"/>
  <c r="E205" i="20"/>
  <c r="D205" i="20"/>
  <c r="C205" i="20"/>
  <c r="B205" i="20"/>
  <c r="A205" i="20"/>
  <c r="E204" i="20"/>
  <c r="D204" i="20"/>
  <c r="C204" i="20"/>
  <c r="B204" i="20"/>
  <c r="A204" i="20"/>
  <c r="E203" i="20"/>
  <c r="D203" i="20"/>
  <c r="C203" i="20"/>
  <c r="B203" i="20"/>
  <c r="A203" i="20"/>
  <c r="E202" i="20"/>
  <c r="D202" i="20"/>
  <c r="C202" i="20"/>
  <c r="B202" i="20"/>
  <c r="A202" i="20"/>
  <c r="E201" i="20"/>
  <c r="D201" i="20"/>
  <c r="C201" i="20"/>
  <c r="B201" i="20"/>
  <c r="A201" i="20"/>
  <c r="E200" i="20"/>
  <c r="D200" i="20"/>
  <c r="C200" i="20"/>
  <c r="B200" i="20"/>
  <c r="A200" i="20"/>
  <c r="E199" i="20"/>
  <c r="D199" i="20"/>
  <c r="C199" i="20"/>
  <c r="B199" i="20"/>
  <c r="A199" i="20"/>
  <c r="E198" i="20"/>
  <c r="D198" i="20"/>
  <c r="C198" i="20"/>
  <c r="B198" i="20"/>
  <c r="A198" i="20"/>
  <c r="E197" i="20"/>
  <c r="D197" i="20"/>
  <c r="C197" i="20"/>
  <c r="B197" i="20"/>
  <c r="A197" i="20"/>
  <c r="E196" i="20"/>
  <c r="D196" i="20"/>
  <c r="C196" i="20"/>
  <c r="B196" i="20"/>
  <c r="F196" i="20" s="1"/>
  <c r="A196" i="20"/>
  <c r="E195" i="20"/>
  <c r="D195" i="20"/>
  <c r="C195" i="20"/>
  <c r="B195" i="20"/>
  <c r="A195" i="20"/>
  <c r="E194" i="20"/>
  <c r="D194" i="20"/>
  <c r="C194" i="20"/>
  <c r="B194" i="20"/>
  <c r="A194" i="20"/>
  <c r="E193" i="20"/>
  <c r="D193" i="20"/>
  <c r="C193" i="20"/>
  <c r="B193" i="20"/>
  <c r="A193" i="20"/>
  <c r="E192" i="20"/>
  <c r="D192" i="20"/>
  <c r="C192" i="20"/>
  <c r="B192" i="20"/>
  <c r="A192" i="20"/>
  <c r="E191" i="20"/>
  <c r="D191" i="20"/>
  <c r="C191" i="20"/>
  <c r="B191" i="20"/>
  <c r="A191" i="20"/>
  <c r="E190" i="20"/>
  <c r="D190" i="20"/>
  <c r="C190" i="20"/>
  <c r="B190" i="20"/>
  <c r="A190" i="20"/>
  <c r="E189" i="20"/>
  <c r="D189" i="20"/>
  <c r="C189" i="20"/>
  <c r="B189" i="20"/>
  <c r="A189" i="20"/>
  <c r="E188" i="20"/>
  <c r="D188" i="20"/>
  <c r="C188" i="20"/>
  <c r="B188" i="20"/>
  <c r="A188" i="20"/>
  <c r="E187" i="20"/>
  <c r="D187" i="20"/>
  <c r="C187" i="20"/>
  <c r="B187" i="20"/>
  <c r="A187" i="20"/>
  <c r="E186" i="20"/>
  <c r="D186" i="20"/>
  <c r="C186" i="20"/>
  <c r="B186" i="20"/>
  <c r="A186" i="20"/>
  <c r="E182" i="20"/>
  <c r="D182" i="20"/>
  <c r="C182" i="20"/>
  <c r="B182" i="20"/>
  <c r="A182" i="20"/>
  <c r="E181" i="20"/>
  <c r="D181" i="20"/>
  <c r="C181" i="20"/>
  <c r="B181" i="20"/>
  <c r="A181" i="20"/>
  <c r="E180" i="20"/>
  <c r="D180" i="20"/>
  <c r="C180" i="20"/>
  <c r="B180" i="20"/>
  <c r="A180" i="20"/>
  <c r="E179" i="20"/>
  <c r="D179" i="20"/>
  <c r="C179" i="20"/>
  <c r="B179" i="20"/>
  <c r="A179" i="20"/>
  <c r="E178" i="20"/>
  <c r="D178" i="20"/>
  <c r="C178" i="20"/>
  <c r="B178" i="20"/>
  <c r="A178" i="20"/>
  <c r="E177" i="20"/>
  <c r="D177" i="20"/>
  <c r="C177" i="20"/>
  <c r="B177" i="20"/>
  <c r="A177" i="20"/>
  <c r="E176" i="20"/>
  <c r="D176" i="20"/>
  <c r="C176" i="20"/>
  <c r="B176" i="20"/>
  <c r="A176" i="20"/>
  <c r="E175" i="20"/>
  <c r="D175" i="20"/>
  <c r="C175" i="20"/>
  <c r="B175" i="20"/>
  <c r="A175" i="20"/>
  <c r="E174" i="20"/>
  <c r="D174" i="20"/>
  <c r="C174" i="20"/>
  <c r="B174" i="20"/>
  <c r="A174" i="20"/>
  <c r="E173" i="20"/>
  <c r="D173" i="20"/>
  <c r="C173" i="20"/>
  <c r="B173" i="20"/>
  <c r="A173" i="20"/>
  <c r="E172" i="20"/>
  <c r="D172" i="20"/>
  <c r="C172" i="20"/>
  <c r="B172" i="20"/>
  <c r="A172" i="20"/>
  <c r="E171" i="20"/>
  <c r="D171" i="20"/>
  <c r="C171" i="20"/>
  <c r="B171" i="20"/>
  <c r="A171" i="20"/>
  <c r="E170" i="20"/>
  <c r="D170" i="20"/>
  <c r="C170" i="20"/>
  <c r="B170" i="20"/>
  <c r="A170" i="20"/>
  <c r="E169" i="20"/>
  <c r="D169" i="20"/>
  <c r="C169" i="20"/>
  <c r="B169" i="20"/>
  <c r="A169" i="20"/>
  <c r="E168" i="20"/>
  <c r="D168" i="20"/>
  <c r="C168" i="20"/>
  <c r="B168" i="20"/>
  <c r="A168" i="20"/>
  <c r="E167" i="20"/>
  <c r="D167" i="20"/>
  <c r="C167" i="20"/>
  <c r="B167" i="20"/>
  <c r="A167" i="20"/>
  <c r="E166" i="20"/>
  <c r="D166" i="20"/>
  <c r="C166" i="20"/>
  <c r="B166" i="20"/>
  <c r="A166" i="20"/>
  <c r="E165" i="20"/>
  <c r="D165" i="20"/>
  <c r="C165" i="20"/>
  <c r="B165" i="20"/>
  <c r="A165" i="20"/>
  <c r="E164" i="20"/>
  <c r="D164" i="20"/>
  <c r="C164" i="20"/>
  <c r="B164" i="20"/>
  <c r="A164" i="20"/>
  <c r="E163" i="20"/>
  <c r="D163" i="20"/>
  <c r="C163" i="20"/>
  <c r="B163" i="20"/>
  <c r="A163" i="20"/>
  <c r="E162" i="20"/>
  <c r="D162" i="20"/>
  <c r="C162" i="20"/>
  <c r="B162" i="20"/>
  <c r="A162" i="20"/>
  <c r="E161" i="20"/>
  <c r="D161" i="20"/>
  <c r="C161" i="20"/>
  <c r="B161" i="20"/>
  <c r="A161" i="20"/>
  <c r="E160" i="20"/>
  <c r="D160" i="20"/>
  <c r="C160" i="20"/>
  <c r="B160" i="20"/>
  <c r="A160" i="20"/>
  <c r="E159" i="20"/>
  <c r="D159" i="20"/>
  <c r="C159" i="20"/>
  <c r="B159" i="20"/>
  <c r="A159" i="20"/>
  <c r="A158" i="20"/>
  <c r="E157" i="20"/>
  <c r="D157" i="20"/>
  <c r="C157" i="20"/>
  <c r="A157" i="20"/>
  <c r="E156" i="20"/>
  <c r="D156" i="20"/>
  <c r="C156" i="20"/>
  <c r="B156" i="20"/>
  <c r="A156" i="20"/>
  <c r="E155" i="20"/>
  <c r="D155" i="20"/>
  <c r="C155" i="20"/>
  <c r="B155" i="20"/>
  <c r="A155" i="20"/>
  <c r="E154" i="20"/>
  <c r="D154" i="20"/>
  <c r="C154" i="20"/>
  <c r="B154" i="20"/>
  <c r="A154" i="20"/>
  <c r="E153" i="20"/>
  <c r="D153" i="20"/>
  <c r="C153" i="20"/>
  <c r="B153" i="20"/>
  <c r="A153" i="20"/>
  <c r="E152" i="20"/>
  <c r="D152" i="20"/>
  <c r="C152" i="20"/>
  <c r="B152" i="20"/>
  <c r="A152" i="20"/>
  <c r="E151" i="20"/>
  <c r="D151" i="20"/>
  <c r="C151" i="20"/>
  <c r="B151" i="20"/>
  <c r="A151" i="20"/>
  <c r="E150" i="20"/>
  <c r="D150" i="20"/>
  <c r="C150" i="20"/>
  <c r="B150" i="20"/>
  <c r="A150" i="20"/>
  <c r="C146" i="20"/>
  <c r="B146" i="20"/>
  <c r="D146" i="20" s="1"/>
  <c r="A146" i="20"/>
  <c r="C145" i="20"/>
  <c r="D145" i="20" s="1"/>
  <c r="B145" i="20"/>
  <c r="A145" i="20"/>
  <c r="C144" i="20"/>
  <c r="B144" i="20"/>
  <c r="A144" i="20"/>
  <c r="C143" i="20"/>
  <c r="B143" i="20"/>
  <c r="A143" i="20"/>
  <c r="C142" i="20"/>
  <c r="B142" i="20"/>
  <c r="A142" i="20"/>
  <c r="C141" i="20"/>
  <c r="B141" i="20"/>
  <c r="D141" i="20" s="1"/>
  <c r="A141" i="20"/>
  <c r="C140" i="20"/>
  <c r="B140" i="20"/>
  <c r="A140" i="20"/>
  <c r="C139" i="20"/>
  <c r="B139" i="20"/>
  <c r="A139" i="20"/>
  <c r="C138" i="20"/>
  <c r="B138" i="20"/>
  <c r="D138" i="20" s="1"/>
  <c r="A138" i="20"/>
  <c r="C137" i="20"/>
  <c r="D137" i="20" s="1"/>
  <c r="B137" i="20"/>
  <c r="A137" i="20"/>
  <c r="C136" i="20"/>
  <c r="B136" i="20"/>
  <c r="D136" i="20" s="1"/>
  <c r="A136" i="20"/>
  <c r="C135" i="20"/>
  <c r="B135" i="20"/>
  <c r="A135" i="20"/>
  <c r="C134" i="20"/>
  <c r="B134" i="20"/>
  <c r="A134" i="20"/>
  <c r="C133" i="20"/>
  <c r="D133" i="20" s="1"/>
  <c r="B133" i="20"/>
  <c r="A133" i="20"/>
  <c r="C132" i="20"/>
  <c r="B132" i="20"/>
  <c r="A132" i="20"/>
  <c r="C131" i="20"/>
  <c r="B131" i="20"/>
  <c r="A131" i="20"/>
  <c r="C130" i="20"/>
  <c r="D130" i="20" s="1"/>
  <c r="B130" i="20"/>
  <c r="A130" i="20"/>
  <c r="C129" i="20"/>
  <c r="D129" i="20" s="1"/>
  <c r="B129" i="20"/>
  <c r="A129" i="20"/>
  <c r="C128" i="20"/>
  <c r="B128" i="20"/>
  <c r="D128" i="20" s="1"/>
  <c r="A128" i="20"/>
  <c r="C127" i="20"/>
  <c r="B127" i="20"/>
  <c r="A127" i="20"/>
  <c r="C126" i="20"/>
  <c r="B126" i="20"/>
  <c r="A126" i="20"/>
  <c r="C125" i="20"/>
  <c r="B125" i="20"/>
  <c r="A125" i="20"/>
  <c r="C124" i="20"/>
  <c r="B124" i="20"/>
  <c r="A124" i="20"/>
  <c r="C123" i="20"/>
  <c r="B123" i="20"/>
  <c r="D123" i="20" s="1"/>
  <c r="A123" i="20"/>
  <c r="C122" i="20"/>
  <c r="B122" i="20"/>
  <c r="A122" i="20"/>
  <c r="C121" i="20"/>
  <c r="D121" i="20" s="1"/>
  <c r="B121" i="20"/>
  <c r="A121" i="20"/>
  <c r="C120" i="20"/>
  <c r="D120" i="20" s="1"/>
  <c r="B120" i="20"/>
  <c r="A120" i="20"/>
  <c r="C119" i="20"/>
  <c r="B119" i="20"/>
  <c r="A119" i="20"/>
  <c r="C118" i="20"/>
  <c r="B118" i="20"/>
  <c r="D118" i="20" s="1"/>
  <c r="A118" i="20"/>
  <c r="C117" i="20"/>
  <c r="B117" i="20"/>
  <c r="A117" i="20"/>
  <c r="C116" i="20"/>
  <c r="D116" i="20" s="1"/>
  <c r="B116" i="20"/>
  <c r="A116" i="20"/>
  <c r="C115" i="20"/>
  <c r="B115" i="20"/>
  <c r="A115" i="20"/>
  <c r="C114" i="20"/>
  <c r="B114" i="20"/>
  <c r="A114" i="20"/>
  <c r="C110" i="20"/>
  <c r="B110" i="20"/>
  <c r="A110" i="20"/>
  <c r="C109" i="20"/>
  <c r="B109" i="20"/>
  <c r="A109" i="20"/>
  <c r="C108" i="20"/>
  <c r="B108" i="20"/>
  <c r="A108" i="20"/>
  <c r="C107" i="20"/>
  <c r="B107" i="20"/>
  <c r="D107" i="20" s="1"/>
  <c r="A107" i="20"/>
  <c r="C106" i="20"/>
  <c r="B106" i="20"/>
  <c r="D106" i="20" s="1"/>
  <c r="A106" i="20"/>
  <c r="C105" i="20"/>
  <c r="D105" i="20" s="1"/>
  <c r="B105" i="20"/>
  <c r="A105" i="20"/>
  <c r="D104" i="20"/>
  <c r="C104" i="20"/>
  <c r="B104" i="20"/>
  <c r="A104" i="20"/>
  <c r="C103" i="20"/>
  <c r="B103" i="20"/>
  <c r="A103" i="20"/>
  <c r="C102" i="20"/>
  <c r="B102" i="20"/>
  <c r="A102" i="20"/>
  <c r="C101" i="20"/>
  <c r="B101" i="20"/>
  <c r="A101" i="20"/>
  <c r="C100" i="20"/>
  <c r="B100" i="20"/>
  <c r="A100" i="20"/>
  <c r="C99" i="20"/>
  <c r="B99" i="20"/>
  <c r="A99" i="20"/>
  <c r="C98" i="20"/>
  <c r="B98" i="20"/>
  <c r="A98" i="20"/>
  <c r="C97" i="20"/>
  <c r="B97" i="20"/>
  <c r="D97" i="20" s="1"/>
  <c r="A97" i="20"/>
  <c r="C96" i="20"/>
  <c r="B96" i="20"/>
  <c r="A96" i="20"/>
  <c r="C95" i="20"/>
  <c r="B95" i="20"/>
  <c r="A95" i="20"/>
  <c r="C94" i="20"/>
  <c r="B94" i="20"/>
  <c r="A94" i="20"/>
  <c r="C93" i="20"/>
  <c r="B93" i="20"/>
  <c r="D93" i="20" s="1"/>
  <c r="A93" i="20"/>
  <c r="C92" i="20"/>
  <c r="D92" i="20" s="1"/>
  <c r="B92" i="20"/>
  <c r="A92" i="20"/>
  <c r="C91" i="20"/>
  <c r="B91" i="20"/>
  <c r="A91" i="20"/>
  <c r="C90" i="20"/>
  <c r="B90" i="20"/>
  <c r="D90" i="20" s="1"/>
  <c r="A90" i="20"/>
  <c r="C89" i="20"/>
  <c r="B89" i="20"/>
  <c r="D89" i="20" s="1"/>
  <c r="A89" i="20"/>
  <c r="C88" i="20"/>
  <c r="B88" i="20"/>
  <c r="A88" i="20"/>
  <c r="C87" i="20"/>
  <c r="B87" i="20"/>
  <c r="A87" i="20"/>
  <c r="C86" i="20"/>
  <c r="B86" i="20"/>
  <c r="A86" i="20"/>
  <c r="C85" i="20"/>
  <c r="B85" i="20"/>
  <c r="D85" i="20" s="1"/>
  <c r="A85" i="20"/>
  <c r="C84" i="20"/>
  <c r="B84" i="20"/>
  <c r="D84" i="20" s="1"/>
  <c r="A84" i="20"/>
  <c r="C83" i="20"/>
  <c r="B83" i="20"/>
  <c r="A83" i="20"/>
  <c r="C82" i="20"/>
  <c r="B82" i="20"/>
  <c r="A82" i="20"/>
  <c r="C81" i="20"/>
  <c r="B81" i="20"/>
  <c r="A81" i="20"/>
  <c r="C80" i="20"/>
  <c r="B80" i="20"/>
  <c r="A80" i="20"/>
  <c r="C79" i="20"/>
  <c r="B79" i="20"/>
  <c r="A79" i="20"/>
  <c r="C78" i="20"/>
  <c r="B78" i="20"/>
  <c r="A78"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H59" i="19"/>
  <c r="AG59" i="19"/>
  <c r="AF59" i="19"/>
  <c r="AE59" i="19"/>
  <c r="AD59" i="19"/>
  <c r="AC59" i="19"/>
  <c r="AB59" i="19"/>
  <c r="AA59" i="19"/>
  <c r="Z59" i="19"/>
  <c r="Y59" i="19"/>
  <c r="X59" i="19"/>
  <c r="W59" i="19"/>
  <c r="V59" i="19"/>
  <c r="U59" i="19"/>
  <c r="T59" i="19"/>
  <c r="S59" i="19"/>
  <c r="R59" i="19"/>
  <c r="Q59" i="19"/>
  <c r="P59" i="19"/>
  <c r="O59" i="19"/>
  <c r="N59" i="19"/>
  <c r="M59" i="19"/>
  <c r="L59" i="19"/>
  <c r="K59" i="19"/>
  <c r="J59" i="19"/>
  <c r="I59" i="19"/>
  <c r="H59" i="19"/>
  <c r="G59" i="19"/>
  <c r="F59" i="19"/>
  <c r="E59" i="19"/>
  <c r="D59" i="19"/>
  <c r="C59" i="19"/>
  <c r="B59" i="19"/>
  <c r="AH58" i="19"/>
  <c r="AG58" i="19"/>
  <c r="AF58" i="19"/>
  <c r="AE58" i="19"/>
  <c r="AD58" i="19"/>
  <c r="AC58" i="19"/>
  <c r="AB58" i="19"/>
  <c r="AA58" i="19"/>
  <c r="Z58" i="19"/>
  <c r="Y58" i="19"/>
  <c r="X58" i="19"/>
  <c r="W58" i="19"/>
  <c r="V58" i="19"/>
  <c r="U58" i="19"/>
  <c r="T58" i="19"/>
  <c r="S58" i="19"/>
  <c r="R58" i="19"/>
  <c r="Q58" i="19"/>
  <c r="P58" i="19"/>
  <c r="O58" i="19"/>
  <c r="N58" i="19"/>
  <c r="M58" i="19"/>
  <c r="L58" i="19"/>
  <c r="K58" i="19"/>
  <c r="J58" i="19"/>
  <c r="I58" i="19"/>
  <c r="H58" i="19"/>
  <c r="G58" i="19"/>
  <c r="F58" i="19"/>
  <c r="E58" i="19"/>
  <c r="D58" i="19"/>
  <c r="C58" i="19"/>
  <c r="B58" i="19"/>
  <c r="AH57" i="19"/>
  <c r="AG57" i="19"/>
  <c r="AF57" i="19"/>
  <c r="AE57" i="19"/>
  <c r="AD57" i="19"/>
  <c r="AC57" i="19"/>
  <c r="AB57" i="19"/>
  <c r="AA57" i="19"/>
  <c r="Z57" i="19"/>
  <c r="Y57" i="19"/>
  <c r="X57" i="19"/>
  <c r="W57" i="19"/>
  <c r="V57" i="19"/>
  <c r="U57" i="19"/>
  <c r="T57" i="19"/>
  <c r="S57" i="19"/>
  <c r="R57" i="19"/>
  <c r="Q57" i="19"/>
  <c r="P57" i="19"/>
  <c r="O57" i="19"/>
  <c r="N57" i="19"/>
  <c r="M57" i="19"/>
  <c r="L57" i="19"/>
  <c r="K57" i="19"/>
  <c r="J57" i="19"/>
  <c r="I57" i="19"/>
  <c r="H57" i="19"/>
  <c r="G57" i="19"/>
  <c r="F57" i="19"/>
  <c r="E57" i="19"/>
  <c r="D57" i="19"/>
  <c r="C57" i="19"/>
  <c r="B57" i="19"/>
  <c r="AH56" i="19"/>
  <c r="AG56" i="19"/>
  <c r="AF56" i="19"/>
  <c r="AE56" i="19"/>
  <c r="AD56" i="19"/>
  <c r="AC56" i="19"/>
  <c r="AB56" i="19"/>
  <c r="AA56" i="19"/>
  <c r="Z56" i="19"/>
  <c r="Y56" i="19"/>
  <c r="X56" i="19"/>
  <c r="W56" i="19"/>
  <c r="V56" i="19"/>
  <c r="U56" i="19"/>
  <c r="T56" i="19"/>
  <c r="S56" i="19"/>
  <c r="R56" i="19"/>
  <c r="Q56" i="19"/>
  <c r="P56" i="19"/>
  <c r="O56" i="19"/>
  <c r="N56" i="19"/>
  <c r="M56" i="19"/>
  <c r="L56" i="19"/>
  <c r="K56" i="19"/>
  <c r="J56" i="19"/>
  <c r="I56" i="19"/>
  <c r="H56" i="19"/>
  <c r="G56" i="19"/>
  <c r="F56" i="19"/>
  <c r="E56" i="19"/>
  <c r="D56" i="19"/>
  <c r="C56" i="19"/>
  <c r="B56" i="19"/>
  <c r="AH55" i="19"/>
  <c r="AG55" i="19"/>
  <c r="AF55" i="19"/>
  <c r="AE55" i="19"/>
  <c r="AD55" i="19"/>
  <c r="AC55" i="19"/>
  <c r="AB55" i="19"/>
  <c r="AA55" i="19"/>
  <c r="Z55" i="19"/>
  <c r="Y55" i="19"/>
  <c r="X55" i="19"/>
  <c r="W55" i="19"/>
  <c r="V55" i="19"/>
  <c r="U55" i="19"/>
  <c r="T55" i="19"/>
  <c r="S55" i="19"/>
  <c r="R55" i="19"/>
  <c r="Q55" i="19"/>
  <c r="P55" i="19"/>
  <c r="O55" i="19"/>
  <c r="N55" i="19"/>
  <c r="M55" i="19"/>
  <c r="L55" i="19"/>
  <c r="K55" i="19"/>
  <c r="J55" i="19"/>
  <c r="I55" i="19"/>
  <c r="H55" i="19"/>
  <c r="G55" i="19"/>
  <c r="F55" i="19"/>
  <c r="E55" i="19"/>
  <c r="D55" i="19"/>
  <c r="C55" i="19"/>
  <c r="B55" i="19"/>
  <c r="AH54" i="19"/>
  <c r="AG54" i="19"/>
  <c r="AF54" i="19"/>
  <c r="AE54" i="19"/>
  <c r="AD54" i="19"/>
  <c r="AC54" i="19"/>
  <c r="AB54" i="19"/>
  <c r="AA54" i="19"/>
  <c r="Z54" i="19"/>
  <c r="Y54" i="19"/>
  <c r="X54" i="19"/>
  <c r="W54" i="19"/>
  <c r="V54" i="19"/>
  <c r="U54" i="19"/>
  <c r="T54" i="19"/>
  <c r="S54" i="19"/>
  <c r="R54" i="19"/>
  <c r="Q54" i="19"/>
  <c r="P54" i="19"/>
  <c r="O54" i="19"/>
  <c r="N54" i="19"/>
  <c r="M54" i="19"/>
  <c r="L54" i="19"/>
  <c r="K54" i="19"/>
  <c r="J54" i="19"/>
  <c r="I54" i="19"/>
  <c r="H54" i="19"/>
  <c r="G54" i="19"/>
  <c r="F54" i="19"/>
  <c r="E54" i="19"/>
  <c r="D54" i="19"/>
  <c r="C54" i="19"/>
  <c r="B54" i="19"/>
  <c r="AH53" i="19"/>
  <c r="AG53" i="19"/>
  <c r="AF53" i="19"/>
  <c r="AE53" i="19"/>
  <c r="AD53" i="19"/>
  <c r="AC53" i="19"/>
  <c r="AB53" i="19"/>
  <c r="AA53" i="19"/>
  <c r="Z53" i="19"/>
  <c r="Y53" i="19"/>
  <c r="X53" i="19"/>
  <c r="W53" i="19"/>
  <c r="V53" i="19"/>
  <c r="U53" i="19"/>
  <c r="T53" i="19"/>
  <c r="S53" i="19"/>
  <c r="R53" i="19"/>
  <c r="Q53" i="19"/>
  <c r="P53" i="19"/>
  <c r="O53" i="19"/>
  <c r="N53" i="19"/>
  <c r="M53" i="19"/>
  <c r="L53" i="19"/>
  <c r="K53" i="19"/>
  <c r="J53" i="19"/>
  <c r="I53" i="19"/>
  <c r="H53" i="19"/>
  <c r="G53" i="19"/>
  <c r="F53" i="19"/>
  <c r="E53" i="19"/>
  <c r="D53" i="19"/>
  <c r="C53" i="19"/>
  <c r="B53" i="19"/>
  <c r="AH52" i="19"/>
  <c r="AG52" i="19"/>
  <c r="AF52" i="19"/>
  <c r="AE52" i="19"/>
  <c r="AD52" i="19"/>
  <c r="AC52" i="19"/>
  <c r="AB52" i="19"/>
  <c r="AA52" i="19"/>
  <c r="Z52" i="19"/>
  <c r="Y52" i="19"/>
  <c r="X52" i="19"/>
  <c r="W52" i="19"/>
  <c r="V52" i="19"/>
  <c r="U52" i="19"/>
  <c r="T52" i="19"/>
  <c r="S52" i="19"/>
  <c r="R52" i="19"/>
  <c r="Q52" i="19"/>
  <c r="P52" i="19"/>
  <c r="O52" i="19"/>
  <c r="N52" i="19"/>
  <c r="M52" i="19"/>
  <c r="L52" i="19"/>
  <c r="K52" i="19"/>
  <c r="J52" i="19"/>
  <c r="I52" i="19"/>
  <c r="H52" i="19"/>
  <c r="G52" i="19"/>
  <c r="F52" i="19"/>
  <c r="E52" i="19"/>
  <c r="D52" i="19"/>
  <c r="C52" i="19"/>
  <c r="B52" i="19"/>
  <c r="AH51" i="19"/>
  <c r="AG51" i="19"/>
  <c r="AF51" i="19"/>
  <c r="AE51" i="19"/>
  <c r="AD51" i="19"/>
  <c r="AC51" i="19"/>
  <c r="AB51" i="19"/>
  <c r="AA51" i="19"/>
  <c r="Z51" i="19"/>
  <c r="Y51" i="19"/>
  <c r="X51" i="19"/>
  <c r="W51" i="19"/>
  <c r="V51" i="19"/>
  <c r="U51" i="19"/>
  <c r="T51" i="19"/>
  <c r="S51" i="19"/>
  <c r="R51" i="19"/>
  <c r="Q51" i="19"/>
  <c r="P51" i="19"/>
  <c r="O51" i="19"/>
  <c r="N51" i="19"/>
  <c r="M51" i="19"/>
  <c r="L51" i="19"/>
  <c r="K51" i="19"/>
  <c r="J51" i="19"/>
  <c r="I51" i="19"/>
  <c r="H51" i="19"/>
  <c r="G51" i="19"/>
  <c r="F51" i="19"/>
  <c r="E51" i="19"/>
  <c r="D51" i="19"/>
  <c r="C51" i="19"/>
  <c r="B51" i="19"/>
  <c r="AH50" i="19"/>
  <c r="AG50" i="19"/>
  <c r="AF50" i="19"/>
  <c r="AE50" i="19"/>
  <c r="AD50" i="19"/>
  <c r="AC50" i="19"/>
  <c r="AB50" i="19"/>
  <c r="AA50" i="19"/>
  <c r="Z50" i="19"/>
  <c r="Y50" i="19"/>
  <c r="X50" i="19"/>
  <c r="W50" i="19"/>
  <c r="V50" i="19"/>
  <c r="U50" i="19"/>
  <c r="T50" i="19"/>
  <c r="S50" i="19"/>
  <c r="R50" i="19"/>
  <c r="Q50" i="19"/>
  <c r="P50" i="19"/>
  <c r="O50" i="19"/>
  <c r="N50" i="19"/>
  <c r="M50" i="19"/>
  <c r="L50" i="19"/>
  <c r="K50" i="19"/>
  <c r="J50" i="19"/>
  <c r="I50" i="19"/>
  <c r="H50" i="19"/>
  <c r="G50" i="19"/>
  <c r="F50" i="19"/>
  <c r="E50" i="19"/>
  <c r="D50" i="19"/>
  <c r="C50" i="19"/>
  <c r="B50" i="19"/>
  <c r="AH41" i="19"/>
  <c r="AG41" i="19"/>
  <c r="AF41" i="19"/>
  <c r="AE41" i="19"/>
  <c r="AD41" i="19"/>
  <c r="AC41" i="19"/>
  <c r="AB41" i="19"/>
  <c r="AA41" i="19"/>
  <c r="Z41" i="19"/>
  <c r="Y41" i="19"/>
  <c r="X41" i="19"/>
  <c r="W41" i="19"/>
  <c r="V41" i="19"/>
  <c r="U41" i="19"/>
  <c r="T41" i="19"/>
  <c r="S41" i="19"/>
  <c r="R41" i="19"/>
  <c r="Q41" i="19"/>
  <c r="P41" i="19"/>
  <c r="O41" i="19"/>
  <c r="N41" i="19"/>
  <c r="M41" i="19"/>
  <c r="L41" i="19"/>
  <c r="K41" i="19"/>
  <c r="J41" i="19"/>
  <c r="I41" i="19"/>
  <c r="H41" i="19"/>
  <c r="G41" i="19"/>
  <c r="F41" i="19"/>
  <c r="E41" i="19"/>
  <c r="D41" i="19"/>
  <c r="C41" i="19"/>
  <c r="B41"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BQ14" i="18"/>
  <c r="BP14" i="18"/>
  <c r="BQ12" i="18"/>
  <c r="BP12" i="18"/>
  <c r="BQ11" i="18"/>
  <c r="BP11" i="18"/>
  <c r="BQ10" i="18"/>
  <c r="BP10" i="18"/>
  <c r="BQ9" i="18"/>
  <c r="BP9" i="18"/>
  <c r="BQ8" i="18"/>
  <c r="BP8" i="18"/>
  <c r="BQ7" i="18"/>
  <c r="BP7" i="18"/>
  <c r="BQ6" i="18"/>
  <c r="BP6" i="18"/>
  <c r="BQ5" i="18"/>
  <c r="BP5" i="18"/>
  <c r="BN3" i="18"/>
  <c r="BL3" i="18"/>
  <c r="BJ3" i="18"/>
  <c r="BH3" i="18"/>
  <c r="BF3" i="18"/>
  <c r="BD3" i="18"/>
  <c r="BB3" i="18"/>
  <c r="AZ3" i="18"/>
  <c r="AX3" i="18"/>
  <c r="AV3" i="18"/>
  <c r="AT3" i="18"/>
  <c r="AR3" i="18"/>
  <c r="AP3" i="18"/>
  <c r="AN3" i="18"/>
  <c r="AL3" i="18"/>
  <c r="AJ3" i="18"/>
  <c r="AH3" i="18"/>
  <c r="AF3" i="18"/>
  <c r="AD3" i="18"/>
  <c r="AB3" i="18"/>
  <c r="Z3" i="18"/>
  <c r="X3" i="18"/>
  <c r="V3" i="18"/>
  <c r="T3" i="18"/>
  <c r="R3" i="18"/>
  <c r="P3" i="18"/>
  <c r="N3" i="18"/>
  <c r="L3" i="18"/>
  <c r="J3" i="18"/>
  <c r="H3" i="18"/>
  <c r="F3" i="18"/>
  <c r="D3" i="18"/>
  <c r="B3" i="18"/>
  <c r="BQ13" i="17"/>
  <c r="BP13" i="17"/>
  <c r="BQ12" i="17"/>
  <c r="BP12" i="17"/>
  <c r="BQ11" i="17"/>
  <c r="BP11" i="17"/>
  <c r="BQ10" i="17"/>
  <c r="BP10" i="17"/>
  <c r="BQ9" i="17"/>
  <c r="BP9" i="17"/>
  <c r="BQ8" i="17"/>
  <c r="BP8" i="17"/>
  <c r="BQ7" i="17"/>
  <c r="BP7" i="17"/>
  <c r="BQ6" i="17"/>
  <c r="BP6" i="17"/>
  <c r="BQ5" i="17"/>
  <c r="BP5" i="17"/>
  <c r="BN3" i="17"/>
  <c r="BL3" i="17"/>
  <c r="BJ3" i="17"/>
  <c r="BH3" i="17"/>
  <c r="BF3" i="17"/>
  <c r="BD3" i="17"/>
  <c r="BB3" i="17"/>
  <c r="AZ3" i="17"/>
  <c r="AX3" i="17"/>
  <c r="AV3" i="17"/>
  <c r="AT3" i="17"/>
  <c r="AR3" i="17"/>
  <c r="AP3" i="17"/>
  <c r="AN3" i="17"/>
  <c r="AL3" i="17"/>
  <c r="AJ3" i="17"/>
  <c r="AH3" i="17"/>
  <c r="AF3" i="17"/>
  <c r="AD3" i="17"/>
  <c r="AB3" i="17"/>
  <c r="Z3" i="17"/>
  <c r="X3" i="17"/>
  <c r="V3" i="17"/>
  <c r="T3" i="17"/>
  <c r="R3" i="17"/>
  <c r="P3" i="17"/>
  <c r="N3" i="17"/>
  <c r="L3" i="17"/>
  <c r="J3" i="17"/>
  <c r="H3" i="17"/>
  <c r="F3" i="17"/>
  <c r="D3" i="17"/>
  <c r="B3" i="17"/>
  <c r="BQ13" i="16"/>
  <c r="BP13" i="16"/>
  <c r="BQ12" i="16"/>
  <c r="BP12" i="16"/>
  <c r="BQ11" i="16"/>
  <c r="BP11" i="16"/>
  <c r="BQ10" i="16"/>
  <c r="BP10" i="16"/>
  <c r="BQ9" i="16"/>
  <c r="BP9" i="16"/>
  <c r="BQ8" i="16"/>
  <c r="BP8" i="16"/>
  <c r="BQ7" i="16"/>
  <c r="BP7" i="16"/>
  <c r="BQ6" i="16"/>
  <c r="BP6" i="16"/>
  <c r="BQ5" i="16"/>
  <c r="BP5" i="16"/>
  <c r="BN3" i="16"/>
  <c r="BL3" i="16"/>
  <c r="BJ3" i="16"/>
  <c r="BH3" i="16"/>
  <c r="BF3" i="16"/>
  <c r="BD3" i="16"/>
  <c r="BB3" i="16"/>
  <c r="AZ3" i="16"/>
  <c r="AX3" i="16"/>
  <c r="AV3" i="16"/>
  <c r="AT3" i="16"/>
  <c r="AR3" i="16"/>
  <c r="AP3" i="16"/>
  <c r="AN3" i="16"/>
  <c r="AL3" i="16"/>
  <c r="AJ3" i="16"/>
  <c r="AH3" i="16"/>
  <c r="AF3" i="16"/>
  <c r="AD3" i="16"/>
  <c r="AB3" i="16"/>
  <c r="Z3" i="16"/>
  <c r="X3" i="16"/>
  <c r="V3" i="16"/>
  <c r="T3" i="16"/>
  <c r="R3" i="16"/>
  <c r="P3" i="16"/>
  <c r="N3" i="16"/>
  <c r="L3" i="16"/>
  <c r="J3" i="16"/>
  <c r="H3" i="16"/>
  <c r="F3" i="16"/>
  <c r="D3" i="16"/>
  <c r="B3" i="16"/>
  <c r="BQ11" i="15"/>
  <c r="BP11" i="15"/>
  <c r="BQ10" i="15"/>
  <c r="BP10" i="15"/>
  <c r="BQ9" i="15"/>
  <c r="BP9" i="15"/>
  <c r="BQ8" i="15"/>
  <c r="BP8" i="15"/>
  <c r="BQ7" i="15"/>
  <c r="BP7" i="15"/>
  <c r="BQ6" i="15"/>
  <c r="BP6" i="15"/>
  <c r="BQ5" i="15"/>
  <c r="BP5" i="15"/>
  <c r="BN3" i="15"/>
  <c r="BL3" i="15"/>
  <c r="BJ3" i="15"/>
  <c r="BH3" i="15"/>
  <c r="BF3" i="15"/>
  <c r="BD3" i="15"/>
  <c r="BB3" i="15"/>
  <c r="AZ3" i="15"/>
  <c r="AX3" i="15"/>
  <c r="AV3" i="15"/>
  <c r="AT3" i="15"/>
  <c r="AR3" i="15"/>
  <c r="AP3" i="15"/>
  <c r="AN3" i="15"/>
  <c r="AL3" i="15"/>
  <c r="AJ3" i="15"/>
  <c r="AH3" i="15"/>
  <c r="AF3" i="15"/>
  <c r="AD3" i="15"/>
  <c r="AB3" i="15"/>
  <c r="Z3" i="15"/>
  <c r="X3" i="15"/>
  <c r="V3" i="15"/>
  <c r="T3" i="15"/>
  <c r="R3" i="15"/>
  <c r="P3" i="15"/>
  <c r="N3" i="15"/>
  <c r="L3" i="15"/>
  <c r="J3" i="15"/>
  <c r="H3" i="15"/>
  <c r="F3" i="15"/>
  <c r="D3" i="15"/>
  <c r="B3" i="15"/>
  <c r="BQ13" i="14"/>
  <c r="BP13" i="14"/>
  <c r="BQ12" i="14"/>
  <c r="BP12" i="14"/>
  <c r="BQ11" i="14"/>
  <c r="BP11" i="14"/>
  <c r="BQ10" i="14"/>
  <c r="BP10" i="14"/>
  <c r="BQ9" i="14"/>
  <c r="BP9" i="14"/>
  <c r="BQ8" i="14"/>
  <c r="BP8" i="14"/>
  <c r="BQ7" i="14"/>
  <c r="BP7" i="14"/>
  <c r="BQ6" i="14"/>
  <c r="BP6" i="14"/>
  <c r="BQ5" i="14"/>
  <c r="BP5" i="14"/>
  <c r="BN3" i="14"/>
  <c r="BL3" i="14"/>
  <c r="BJ3" i="14"/>
  <c r="BH3" i="14"/>
  <c r="BF3" i="14"/>
  <c r="BD3" i="14"/>
  <c r="BB3" i="14"/>
  <c r="AZ3" i="14"/>
  <c r="AX3" i="14"/>
  <c r="AV3" i="14"/>
  <c r="AT3" i="14"/>
  <c r="AR3" i="14"/>
  <c r="AP3" i="14"/>
  <c r="AN3" i="14"/>
  <c r="AL3" i="14"/>
  <c r="AJ3" i="14"/>
  <c r="AH3" i="14"/>
  <c r="AF3" i="14"/>
  <c r="AD3" i="14"/>
  <c r="AB3" i="14"/>
  <c r="Z3" i="14"/>
  <c r="X3" i="14"/>
  <c r="V3" i="14"/>
  <c r="T3" i="14"/>
  <c r="R3" i="14"/>
  <c r="P3" i="14"/>
  <c r="N3" i="14"/>
  <c r="L3" i="14"/>
  <c r="J3" i="14"/>
  <c r="H3" i="14"/>
  <c r="F3" i="14"/>
  <c r="D3" i="14"/>
  <c r="B3" i="14"/>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J36" i="9"/>
  <c r="J74" i="20" s="1"/>
  <c r="I36" i="9"/>
  <c r="I74" i="20" s="1"/>
  <c r="H36" i="9"/>
  <c r="H74" i="20" s="1"/>
  <c r="G36" i="9"/>
  <c r="G74" i="20" s="1"/>
  <c r="E36" i="9"/>
  <c r="E74" i="20" s="1"/>
  <c r="D36" i="9"/>
  <c r="D74" i="20" s="1"/>
  <c r="B36" i="9"/>
  <c r="B74" i="20" s="1"/>
  <c r="A36" i="9"/>
  <c r="A74" i="20" s="1"/>
  <c r="J35" i="9"/>
  <c r="J73" i="20" s="1"/>
  <c r="I35" i="9"/>
  <c r="I73" i="20" s="1"/>
  <c r="H35" i="9"/>
  <c r="H73" i="20" s="1"/>
  <c r="G35" i="9"/>
  <c r="G73" i="20" s="1"/>
  <c r="E35" i="9"/>
  <c r="E73" i="20" s="1"/>
  <c r="D35" i="9"/>
  <c r="D73" i="20" s="1"/>
  <c r="B35" i="9"/>
  <c r="B73" i="20" s="1"/>
  <c r="A35" i="9"/>
  <c r="A73" i="20" s="1"/>
  <c r="J34" i="9"/>
  <c r="J72" i="20" s="1"/>
  <c r="I34" i="9"/>
  <c r="I72" i="20" s="1"/>
  <c r="G34" i="9"/>
  <c r="G72" i="20" s="1"/>
  <c r="E34" i="9"/>
  <c r="E72" i="20" s="1"/>
  <c r="D34" i="9"/>
  <c r="D72" i="20" s="1"/>
  <c r="B34" i="9"/>
  <c r="B72" i="20" s="1"/>
  <c r="A34" i="9"/>
  <c r="A72" i="20" s="1"/>
  <c r="J33" i="9"/>
  <c r="J71" i="20" s="1"/>
  <c r="I33" i="9"/>
  <c r="I71" i="20" s="1"/>
  <c r="G33" i="9"/>
  <c r="G71" i="20" s="1"/>
  <c r="E33" i="9"/>
  <c r="E71" i="20" s="1"/>
  <c r="D33" i="9"/>
  <c r="D71" i="20" s="1"/>
  <c r="B33" i="9"/>
  <c r="B71" i="20" s="1"/>
  <c r="A33" i="9"/>
  <c r="A71" i="20" s="1"/>
  <c r="J32" i="9"/>
  <c r="J70" i="20" s="1"/>
  <c r="I32" i="9"/>
  <c r="I70" i="20" s="1"/>
  <c r="H32" i="9"/>
  <c r="H70" i="20" s="1"/>
  <c r="G32" i="9"/>
  <c r="G70" i="20" s="1"/>
  <c r="E32" i="9"/>
  <c r="E70" i="20" s="1"/>
  <c r="D32" i="9"/>
  <c r="D70" i="20" s="1"/>
  <c r="B32" i="9"/>
  <c r="B70" i="20" s="1"/>
  <c r="A32" i="9"/>
  <c r="A70" i="20" s="1"/>
  <c r="J31" i="9"/>
  <c r="J69" i="20" s="1"/>
  <c r="I31" i="9"/>
  <c r="I69" i="20" s="1"/>
  <c r="H31" i="9"/>
  <c r="H69" i="20" s="1"/>
  <c r="G31" i="9"/>
  <c r="G69" i="20" s="1"/>
  <c r="E31" i="9"/>
  <c r="E69" i="20" s="1"/>
  <c r="B31" i="9"/>
  <c r="B69" i="20" s="1"/>
  <c r="A31" i="9"/>
  <c r="A69" i="20" s="1"/>
  <c r="J30" i="9"/>
  <c r="J68" i="20" s="1"/>
  <c r="I30" i="9"/>
  <c r="I68" i="20" s="1"/>
  <c r="H30" i="9"/>
  <c r="H68" i="20" s="1"/>
  <c r="G30" i="9"/>
  <c r="G68" i="20" s="1"/>
  <c r="A30" i="9"/>
  <c r="A68" i="20" s="1"/>
  <c r="J29" i="9"/>
  <c r="J67" i="20" s="1"/>
  <c r="I29" i="9"/>
  <c r="I67" i="20" s="1"/>
  <c r="H29" i="9"/>
  <c r="H67" i="20" s="1"/>
  <c r="G29" i="9"/>
  <c r="G67" i="20" s="1"/>
  <c r="E29" i="9"/>
  <c r="E67" i="20" s="1"/>
  <c r="D29" i="9"/>
  <c r="D67" i="20" s="1"/>
  <c r="A29" i="9"/>
  <c r="A67" i="20" s="1"/>
  <c r="J28" i="9"/>
  <c r="J66" i="20" s="1"/>
  <c r="I28" i="9"/>
  <c r="I66" i="20" s="1"/>
  <c r="H28" i="9"/>
  <c r="H66" i="20" s="1"/>
  <c r="G28" i="9"/>
  <c r="G66" i="20" s="1"/>
  <c r="E28" i="9"/>
  <c r="E66" i="20" s="1"/>
  <c r="D28" i="9"/>
  <c r="D66" i="20" s="1"/>
  <c r="B28" i="9"/>
  <c r="B66" i="20" s="1"/>
  <c r="A28" i="9"/>
  <c r="A66" i="20" s="1"/>
  <c r="J27" i="9"/>
  <c r="J65" i="20" s="1"/>
  <c r="I27" i="9"/>
  <c r="I65" i="20" s="1"/>
  <c r="H27" i="9"/>
  <c r="H65" i="20" s="1"/>
  <c r="G27" i="9"/>
  <c r="G65" i="20" s="1"/>
  <c r="E27" i="9"/>
  <c r="E65" i="20" s="1"/>
  <c r="D27" i="9"/>
  <c r="D65" i="20" s="1"/>
  <c r="B27" i="9"/>
  <c r="B65" i="20" s="1"/>
  <c r="A27" i="9"/>
  <c r="A65" i="20" s="1"/>
  <c r="J26" i="9"/>
  <c r="J64" i="20" s="1"/>
  <c r="I26" i="9"/>
  <c r="I64" i="20" s="1"/>
  <c r="H26" i="9"/>
  <c r="H64" i="20" s="1"/>
  <c r="G26" i="9"/>
  <c r="G64" i="20" s="1"/>
  <c r="E26" i="9"/>
  <c r="E64" i="20" s="1"/>
  <c r="D26" i="9"/>
  <c r="D64" i="20" s="1"/>
  <c r="B26" i="9"/>
  <c r="B64" i="20" s="1"/>
  <c r="A26" i="9"/>
  <c r="A64" i="20" s="1"/>
  <c r="J25" i="9"/>
  <c r="J63" i="20" s="1"/>
  <c r="I25" i="9"/>
  <c r="I63" i="20" s="1"/>
  <c r="G25" i="9"/>
  <c r="G63" i="20" s="1"/>
  <c r="E25" i="9"/>
  <c r="E63" i="20" s="1"/>
  <c r="D25" i="9"/>
  <c r="D63" i="20" s="1"/>
  <c r="B25" i="9"/>
  <c r="B63" i="20" s="1"/>
  <c r="A25" i="9"/>
  <c r="A63" i="20" s="1"/>
  <c r="J24" i="9"/>
  <c r="J62" i="20" s="1"/>
  <c r="I24" i="9"/>
  <c r="I62" i="20" s="1"/>
  <c r="H24" i="9"/>
  <c r="H62" i="20" s="1"/>
  <c r="G24" i="9"/>
  <c r="G62" i="20" s="1"/>
  <c r="E24" i="9"/>
  <c r="E62" i="20" s="1"/>
  <c r="D24" i="9"/>
  <c r="D62" i="20" s="1"/>
  <c r="B24" i="9"/>
  <c r="B62" i="20" s="1"/>
  <c r="A24" i="9"/>
  <c r="A62" i="20" s="1"/>
  <c r="J23" i="9"/>
  <c r="J61" i="20" s="1"/>
  <c r="I23" i="9"/>
  <c r="I61" i="20" s="1"/>
  <c r="H23" i="9"/>
  <c r="H61" i="20" s="1"/>
  <c r="G23" i="9"/>
  <c r="G61" i="20" s="1"/>
  <c r="E23" i="9"/>
  <c r="E61" i="20" s="1"/>
  <c r="D23" i="9"/>
  <c r="D61" i="20" s="1"/>
  <c r="B23" i="9"/>
  <c r="B61" i="20" s="1"/>
  <c r="A23" i="9"/>
  <c r="A61" i="20" s="1"/>
  <c r="J22" i="9"/>
  <c r="J60" i="20" s="1"/>
  <c r="I22" i="9"/>
  <c r="I60" i="20" s="1"/>
  <c r="H22" i="9"/>
  <c r="H60" i="20" s="1"/>
  <c r="G22" i="9"/>
  <c r="G60" i="20" s="1"/>
  <c r="A22" i="9"/>
  <c r="A60" i="20" s="1"/>
  <c r="J21" i="9"/>
  <c r="J59" i="20" s="1"/>
  <c r="I21" i="9"/>
  <c r="I59" i="20" s="1"/>
  <c r="H21" i="9"/>
  <c r="H59" i="20" s="1"/>
  <c r="G21" i="9"/>
  <c r="G59" i="20" s="1"/>
  <c r="E21" i="9"/>
  <c r="E59" i="20" s="1"/>
  <c r="D21" i="9"/>
  <c r="D59" i="20" s="1"/>
  <c r="A21" i="9"/>
  <c r="A59" i="20" s="1"/>
  <c r="J20" i="9"/>
  <c r="J58" i="20" s="1"/>
  <c r="I20" i="9"/>
  <c r="I58" i="20" s="1"/>
  <c r="H20" i="9"/>
  <c r="H58" i="20" s="1"/>
  <c r="G20" i="9"/>
  <c r="G58" i="20" s="1"/>
  <c r="E20" i="9"/>
  <c r="E58" i="20" s="1"/>
  <c r="D20" i="9"/>
  <c r="D58" i="20" s="1"/>
  <c r="B20" i="9"/>
  <c r="B58" i="20" s="1"/>
  <c r="A20" i="9"/>
  <c r="A58" i="20" s="1"/>
  <c r="J19" i="9"/>
  <c r="J57" i="20" s="1"/>
  <c r="I19" i="9"/>
  <c r="I57" i="20" s="1"/>
  <c r="H19" i="9"/>
  <c r="H57" i="20" s="1"/>
  <c r="G19" i="9"/>
  <c r="G57" i="20" s="1"/>
  <c r="E19" i="9"/>
  <c r="E57" i="20" s="1"/>
  <c r="D19" i="9"/>
  <c r="D57" i="20" s="1"/>
  <c r="B19" i="9"/>
  <c r="B57" i="20" s="1"/>
  <c r="A19" i="9"/>
  <c r="A57" i="20" s="1"/>
  <c r="J18" i="9"/>
  <c r="J56" i="20" s="1"/>
  <c r="I18" i="9"/>
  <c r="I56" i="20" s="1"/>
  <c r="G18" i="9"/>
  <c r="G56" i="20" s="1"/>
  <c r="E18" i="9"/>
  <c r="E56" i="20" s="1"/>
  <c r="B18" i="9"/>
  <c r="B56" i="20" s="1"/>
  <c r="A18" i="9"/>
  <c r="A56" i="20" s="1"/>
  <c r="J17" i="9"/>
  <c r="J55" i="20" s="1"/>
  <c r="I17" i="9"/>
  <c r="I55" i="20" s="1"/>
  <c r="G17" i="9"/>
  <c r="G55" i="20" s="1"/>
  <c r="E17" i="9"/>
  <c r="E55" i="20" s="1"/>
  <c r="D17" i="9"/>
  <c r="D55" i="20" s="1"/>
  <c r="B17" i="9"/>
  <c r="B55" i="20" s="1"/>
  <c r="A17" i="9"/>
  <c r="A55" i="20" s="1"/>
  <c r="J16" i="9"/>
  <c r="J54" i="20" s="1"/>
  <c r="I16" i="9"/>
  <c r="I54" i="20" s="1"/>
  <c r="H16" i="9"/>
  <c r="H54" i="20" s="1"/>
  <c r="G16" i="9"/>
  <c r="G54" i="20" s="1"/>
  <c r="E16" i="9"/>
  <c r="E54" i="20" s="1"/>
  <c r="D16" i="9"/>
  <c r="D54" i="20" s="1"/>
  <c r="B16" i="9"/>
  <c r="B54" i="20" s="1"/>
  <c r="A16" i="9"/>
  <c r="A54" i="20" s="1"/>
  <c r="J15" i="9"/>
  <c r="J53" i="20" s="1"/>
  <c r="I15" i="9"/>
  <c r="I53" i="20" s="1"/>
  <c r="H15" i="9"/>
  <c r="H53" i="20" s="1"/>
  <c r="G15" i="9"/>
  <c r="G53" i="20" s="1"/>
  <c r="E15" i="9"/>
  <c r="E53" i="20" s="1"/>
  <c r="B15" i="9"/>
  <c r="B53" i="20" s="1"/>
  <c r="A15" i="9"/>
  <c r="A53" i="20" s="1"/>
  <c r="J14" i="9"/>
  <c r="J52" i="20" s="1"/>
  <c r="I14" i="9"/>
  <c r="I52" i="20" s="1"/>
  <c r="H14" i="9"/>
  <c r="H52" i="20" s="1"/>
  <c r="G14" i="9"/>
  <c r="G52" i="20" s="1"/>
  <c r="A14" i="9"/>
  <c r="A52" i="20" s="1"/>
  <c r="J13" i="9"/>
  <c r="J51" i="20" s="1"/>
  <c r="I13" i="9"/>
  <c r="I51" i="20" s="1"/>
  <c r="H13" i="9"/>
  <c r="H51" i="20" s="1"/>
  <c r="G13" i="9"/>
  <c r="G51" i="20" s="1"/>
  <c r="E13" i="9"/>
  <c r="E51" i="20" s="1"/>
  <c r="D13" i="9"/>
  <c r="D51" i="20" s="1"/>
  <c r="A13" i="9"/>
  <c r="A51" i="20" s="1"/>
  <c r="J12" i="9"/>
  <c r="J50" i="20" s="1"/>
  <c r="I12" i="9"/>
  <c r="I50" i="20" s="1"/>
  <c r="H12" i="9"/>
  <c r="H50" i="20" s="1"/>
  <c r="G12" i="9"/>
  <c r="G50" i="20" s="1"/>
  <c r="E12" i="9"/>
  <c r="E50" i="20" s="1"/>
  <c r="D12" i="9"/>
  <c r="D50" i="20" s="1"/>
  <c r="B12" i="9"/>
  <c r="B50" i="20" s="1"/>
  <c r="A12" i="9"/>
  <c r="A50" i="20" s="1"/>
  <c r="J11" i="9"/>
  <c r="J49" i="20" s="1"/>
  <c r="I11" i="9"/>
  <c r="I49" i="20" s="1"/>
  <c r="H11" i="9"/>
  <c r="H49" i="20" s="1"/>
  <c r="G11" i="9"/>
  <c r="G49" i="20" s="1"/>
  <c r="E11" i="9"/>
  <c r="E49" i="20" s="1"/>
  <c r="D11" i="9"/>
  <c r="D49" i="20" s="1"/>
  <c r="B11" i="9"/>
  <c r="B49" i="20" s="1"/>
  <c r="A11" i="9"/>
  <c r="A49" i="20" s="1"/>
  <c r="J10" i="9"/>
  <c r="J48" i="20" s="1"/>
  <c r="I10" i="9"/>
  <c r="I48" i="20" s="1"/>
  <c r="G10" i="9"/>
  <c r="G48" i="20" s="1"/>
  <c r="E10" i="9"/>
  <c r="E48" i="20" s="1"/>
  <c r="D10" i="9"/>
  <c r="D48" i="20" s="1"/>
  <c r="B10" i="9"/>
  <c r="B48" i="20" s="1"/>
  <c r="A10" i="9"/>
  <c r="A48" i="20" s="1"/>
  <c r="J9" i="9"/>
  <c r="J47" i="20" s="1"/>
  <c r="I9" i="9"/>
  <c r="I47" i="20" s="1"/>
  <c r="G9" i="9"/>
  <c r="G47" i="20" s="1"/>
  <c r="E9" i="9"/>
  <c r="E47" i="20" s="1"/>
  <c r="D9" i="9"/>
  <c r="D47" i="20" s="1"/>
  <c r="B9" i="9"/>
  <c r="B47" i="20" s="1"/>
  <c r="A9" i="9"/>
  <c r="A47" i="20" s="1"/>
  <c r="J8" i="9"/>
  <c r="J46" i="20" s="1"/>
  <c r="I8" i="9"/>
  <c r="I46" i="20" s="1"/>
  <c r="H8" i="9"/>
  <c r="H46" i="20" s="1"/>
  <c r="G8" i="9"/>
  <c r="G46" i="20" s="1"/>
  <c r="E8" i="9"/>
  <c r="E46" i="20" s="1"/>
  <c r="D8" i="9"/>
  <c r="D46" i="20" s="1"/>
  <c r="B8" i="9"/>
  <c r="B46" i="20" s="1"/>
  <c r="A8" i="9"/>
  <c r="A46" i="20" s="1"/>
  <c r="J7" i="9"/>
  <c r="J45" i="20" s="1"/>
  <c r="I7" i="9"/>
  <c r="I45" i="20" s="1"/>
  <c r="H7" i="9"/>
  <c r="H45" i="20" s="1"/>
  <c r="G7" i="9"/>
  <c r="G45" i="20" s="1"/>
  <c r="E7" i="9"/>
  <c r="E45" i="20" s="1"/>
  <c r="B7" i="9"/>
  <c r="B45" i="20" s="1"/>
  <c r="A7" i="9"/>
  <c r="A45" i="20" s="1"/>
  <c r="J6" i="9"/>
  <c r="J44" i="20" s="1"/>
  <c r="I6" i="9"/>
  <c r="I44" i="20" s="1"/>
  <c r="H6" i="9"/>
  <c r="H44" i="20" s="1"/>
  <c r="G6" i="9"/>
  <c r="G44" i="20" s="1"/>
  <c r="E6" i="9"/>
  <c r="E44" i="20" s="1"/>
  <c r="A6" i="9"/>
  <c r="A44" i="20" s="1"/>
  <c r="J5" i="9"/>
  <c r="J43" i="20" s="1"/>
  <c r="I5" i="9"/>
  <c r="I43" i="20" s="1"/>
  <c r="H5" i="9"/>
  <c r="H43" i="20" s="1"/>
  <c r="G5" i="9"/>
  <c r="G43" i="20" s="1"/>
  <c r="E5" i="9"/>
  <c r="E43" i="20" s="1"/>
  <c r="D5" i="9"/>
  <c r="D43" i="20" s="1"/>
  <c r="A5" i="9"/>
  <c r="A43" i="20" s="1"/>
  <c r="J4" i="9"/>
  <c r="J42" i="20" s="1"/>
  <c r="I4" i="9"/>
  <c r="I42" i="20" s="1"/>
  <c r="H4" i="9"/>
  <c r="H42" i="20" s="1"/>
  <c r="G4" i="9"/>
  <c r="G42" i="20" s="1"/>
  <c r="E4" i="9"/>
  <c r="E42" i="20" s="1"/>
  <c r="D4" i="9"/>
  <c r="D42" i="20" s="1"/>
  <c r="B4" i="9"/>
  <c r="B42" i="20" s="1"/>
  <c r="A4" i="9"/>
  <c r="A42" i="20" s="1"/>
  <c r="AL50" i="8"/>
  <c r="AK50" i="8"/>
  <c r="AJ50" i="8"/>
  <c r="AI50" i="8"/>
  <c r="AH50" i="8"/>
  <c r="AG50" i="8"/>
  <c r="AF50" i="8"/>
  <c r="AE50" i="8"/>
  <c r="AD50" i="8"/>
  <c r="AC50" i="8"/>
  <c r="AB50" i="8"/>
  <c r="AA50" i="8"/>
  <c r="Z50" i="8"/>
  <c r="Y50" i="8"/>
  <c r="X50" i="8"/>
  <c r="W50" i="8"/>
  <c r="V50" i="8"/>
  <c r="U50" i="8"/>
  <c r="T50" i="8"/>
  <c r="S50" i="8"/>
  <c r="R50" i="8"/>
  <c r="Q50" i="8"/>
  <c r="P50" i="8"/>
  <c r="O50" i="8"/>
  <c r="N50" i="8"/>
  <c r="M50" i="8"/>
  <c r="L50" i="8"/>
  <c r="K50" i="8"/>
  <c r="J50" i="8"/>
  <c r="I50" i="8"/>
  <c r="H50" i="8"/>
  <c r="G50" i="8"/>
  <c r="F50" i="8"/>
  <c r="E50" i="8"/>
  <c r="AL49" i="8"/>
  <c r="AK49" i="8"/>
  <c r="AJ49" i="8"/>
  <c r="AI49" i="8"/>
  <c r="AH49" i="8"/>
  <c r="AG49" i="8"/>
  <c r="AF49" i="8"/>
  <c r="AE49" i="8"/>
  <c r="AD49" i="8"/>
  <c r="AC49" i="8"/>
  <c r="AB49" i="8"/>
  <c r="AA49" i="8"/>
  <c r="Z49" i="8"/>
  <c r="Y49" i="8"/>
  <c r="X49" i="8"/>
  <c r="W49" i="8"/>
  <c r="V49" i="8"/>
  <c r="U49" i="8"/>
  <c r="T49" i="8"/>
  <c r="S49" i="8"/>
  <c r="R49" i="8"/>
  <c r="Q49" i="8"/>
  <c r="P49" i="8"/>
  <c r="O49" i="8"/>
  <c r="N49" i="8"/>
  <c r="M49" i="8"/>
  <c r="L49" i="8"/>
  <c r="K49" i="8"/>
  <c r="J49" i="8"/>
  <c r="I49" i="8"/>
  <c r="H49" i="8"/>
  <c r="G49" i="8"/>
  <c r="F49" i="8"/>
  <c r="E49" i="8"/>
  <c r="AL48" i="8"/>
  <c r="AL51" i="8" s="1"/>
  <c r="AK48" i="8"/>
  <c r="AJ48" i="8"/>
  <c r="AG48" i="8"/>
  <c r="AF48" i="8"/>
  <c r="AE48" i="8"/>
  <c r="AD48" i="8"/>
  <c r="AC48" i="8"/>
  <c r="AB48" i="8"/>
  <c r="Y48" i="8"/>
  <c r="X48" i="8"/>
  <c r="W48" i="8"/>
  <c r="V48" i="8"/>
  <c r="U48" i="8"/>
  <c r="T48" i="8"/>
  <c r="Q48" i="8"/>
  <c r="P48" i="8"/>
  <c r="O48" i="8"/>
  <c r="N48" i="8"/>
  <c r="M48" i="8"/>
  <c r="L48" i="8"/>
  <c r="I48" i="8"/>
  <c r="H48" i="8"/>
  <c r="G48" i="8"/>
  <c r="F48" i="8"/>
  <c r="E48" i="8"/>
  <c r="AL47" i="8"/>
  <c r="AK47" i="8"/>
  <c r="AJ47" i="8"/>
  <c r="AI47" i="8"/>
  <c r="AH47" i="8"/>
  <c r="AG47" i="8"/>
  <c r="AF47" i="8"/>
  <c r="AE47" i="8"/>
  <c r="AD47" i="8"/>
  <c r="AC47" i="8"/>
  <c r="AB47" i="8"/>
  <c r="AA47" i="8"/>
  <c r="Z47" i="8"/>
  <c r="Y47" i="8"/>
  <c r="X47" i="8"/>
  <c r="W47" i="8"/>
  <c r="V47" i="8"/>
  <c r="U47" i="8"/>
  <c r="T47" i="8"/>
  <c r="S47" i="8"/>
  <c r="R47" i="8"/>
  <c r="Q47" i="8"/>
  <c r="P47" i="8"/>
  <c r="O47" i="8"/>
  <c r="N47" i="8"/>
  <c r="M47" i="8"/>
  <c r="L47" i="8"/>
  <c r="K47" i="8"/>
  <c r="J47" i="8"/>
  <c r="I47" i="8"/>
  <c r="H47" i="8"/>
  <c r="G47" i="8"/>
  <c r="F47" i="8"/>
  <c r="E47" i="8"/>
  <c r="AK46" i="8"/>
  <c r="AJ46" i="8"/>
  <c r="AI46" i="8"/>
  <c r="AH46" i="8"/>
  <c r="AG46" i="8"/>
  <c r="AF46" i="8"/>
  <c r="AE46" i="8"/>
  <c r="AD46" i="8"/>
  <c r="AC46" i="8"/>
  <c r="AB46" i="8"/>
  <c r="AA46" i="8"/>
  <c r="Z46" i="8"/>
  <c r="Y46" i="8"/>
  <c r="X46" i="8"/>
  <c r="W46" i="8"/>
  <c r="V46" i="8"/>
  <c r="U46" i="8"/>
  <c r="T46" i="8"/>
  <c r="S46" i="8"/>
  <c r="R46" i="8"/>
  <c r="Q46" i="8"/>
  <c r="P46" i="8"/>
  <c r="O46" i="8"/>
  <c r="N46" i="8"/>
  <c r="M46" i="8"/>
  <c r="L46" i="8"/>
  <c r="K46" i="8"/>
  <c r="J46" i="8"/>
  <c r="I46" i="8"/>
  <c r="H46" i="8"/>
  <c r="G46" i="8"/>
  <c r="F46" i="8"/>
  <c r="E46" i="8"/>
  <c r="AL43" i="8"/>
  <c r="AL42" i="8"/>
  <c r="AL41" i="8"/>
  <c r="AL40" i="8"/>
  <c r="AL39" i="8"/>
  <c r="AL38" i="8"/>
  <c r="AL37" i="8"/>
  <c r="AL36" i="8"/>
  <c r="AL35" i="8"/>
  <c r="AL34" i="8"/>
  <c r="AL33" i="8"/>
  <c r="AL32" i="8"/>
  <c r="AL31" i="8"/>
  <c r="AL30" i="8"/>
  <c r="AL29" i="8"/>
  <c r="AL28" i="8"/>
  <c r="AL27" i="8"/>
  <c r="AL26" i="8"/>
  <c r="AL25" i="8"/>
  <c r="AL24" i="8"/>
  <c r="AL23" i="8"/>
  <c r="AL22" i="8"/>
  <c r="AL21" i="8"/>
  <c r="AL20" i="8"/>
  <c r="AL19" i="8"/>
  <c r="AL18" i="8"/>
  <c r="AL17" i="8"/>
  <c r="AL16" i="8"/>
  <c r="AL15" i="8"/>
  <c r="AL14" i="8"/>
  <c r="AL13" i="8"/>
  <c r="AL12" i="8"/>
  <c r="AL11" i="8"/>
  <c r="AL9" i="8"/>
  <c r="AL8" i="8"/>
  <c r="AL7" i="8"/>
  <c r="AL6" i="8"/>
  <c r="AL5" i="8"/>
  <c r="AL4" i="8"/>
  <c r="AK3" i="8"/>
  <c r="AJ3" i="8"/>
  <c r="AI3" i="8"/>
  <c r="AH3" i="8"/>
  <c r="AG3" i="8"/>
  <c r="AF3" i="8"/>
  <c r="AE3" i="8"/>
  <c r="AD3" i="8"/>
  <c r="AC3" i="8"/>
  <c r="AB3" i="8"/>
  <c r="AA3" i="8"/>
  <c r="Z3" i="8"/>
  <c r="Y3" i="8"/>
  <c r="X3" i="8"/>
  <c r="W3" i="8"/>
  <c r="V3" i="8"/>
  <c r="U3" i="8"/>
  <c r="T3" i="8"/>
  <c r="S3" i="8"/>
  <c r="R3" i="8"/>
  <c r="Q3" i="8"/>
  <c r="P3" i="8"/>
  <c r="O3" i="8"/>
  <c r="N3" i="8"/>
  <c r="M3" i="8"/>
  <c r="L3" i="8"/>
  <c r="K3" i="8"/>
  <c r="J3" i="8"/>
  <c r="I3" i="8"/>
  <c r="H3" i="8"/>
  <c r="G3" i="8"/>
  <c r="F3" i="8"/>
  <c r="E3" i="8"/>
  <c r="AL32" i="7"/>
  <c r="AL31" i="7"/>
  <c r="AK31" i="7"/>
  <c r="AJ31" i="7"/>
  <c r="AI31" i="7"/>
  <c r="AH31" i="7"/>
  <c r="AG31" i="7"/>
  <c r="AF31" i="7"/>
  <c r="AD31" i="7"/>
  <c r="AC31" i="7"/>
  <c r="AB31" i="7"/>
  <c r="AA31" i="7"/>
  <c r="Z31" i="7"/>
  <c r="Y31" i="7"/>
  <c r="X31" i="7"/>
  <c r="V31" i="7"/>
  <c r="U31" i="7"/>
  <c r="T31" i="7"/>
  <c r="S31" i="7"/>
  <c r="R31" i="7"/>
  <c r="Q31" i="7"/>
  <c r="P31" i="7"/>
  <c r="N31" i="7"/>
  <c r="M31" i="7"/>
  <c r="L31" i="7"/>
  <c r="K31" i="7"/>
  <c r="J31" i="7"/>
  <c r="I31" i="7"/>
  <c r="H31" i="7"/>
  <c r="F31" i="7"/>
  <c r="E31" i="7"/>
  <c r="AL30" i="7"/>
  <c r="AK30" i="7"/>
  <c r="AJ30" i="7"/>
  <c r="AI30" i="7"/>
  <c r="AH30" i="7"/>
  <c r="AG30" i="7"/>
  <c r="AD30" i="7"/>
  <c r="AC30" i="7"/>
  <c r="AB30" i="7"/>
  <c r="AA30" i="7"/>
  <c r="Z30" i="7"/>
  <c r="Y30" i="7"/>
  <c r="V30" i="7"/>
  <c r="U30" i="7"/>
  <c r="T30" i="7"/>
  <c r="S30" i="7"/>
  <c r="R30" i="7"/>
  <c r="Q30" i="7"/>
  <c r="N30" i="7"/>
  <c r="M30" i="7"/>
  <c r="L30" i="7"/>
  <c r="K30" i="7"/>
  <c r="J30" i="7"/>
  <c r="I30" i="7"/>
  <c r="F30" i="7"/>
  <c r="E30" i="7"/>
  <c r="AK29" i="7"/>
  <c r="AJ29" i="7"/>
  <c r="AI29" i="7"/>
  <c r="AH29" i="7"/>
  <c r="AG29" i="7"/>
  <c r="AF29" i="7"/>
  <c r="AE29" i="7"/>
  <c r="AD29" i="7"/>
  <c r="AC29" i="7"/>
  <c r="AB29" i="7"/>
  <c r="AA29" i="7"/>
  <c r="Z29" i="7"/>
  <c r="Y29" i="7"/>
  <c r="X29" i="7"/>
  <c r="W29" i="7"/>
  <c r="V29" i="7"/>
  <c r="U29" i="7"/>
  <c r="T29" i="7"/>
  <c r="S29" i="7"/>
  <c r="R29" i="7"/>
  <c r="Q29" i="7"/>
  <c r="P29" i="7"/>
  <c r="O29" i="7"/>
  <c r="N29" i="7"/>
  <c r="M29" i="7"/>
  <c r="L29" i="7"/>
  <c r="K29" i="7"/>
  <c r="J29" i="7"/>
  <c r="I29" i="7"/>
  <c r="H29" i="7"/>
  <c r="G29" i="7"/>
  <c r="F29" i="7"/>
  <c r="E29" i="7"/>
  <c r="AL15" i="7"/>
  <c r="AL14" i="7"/>
  <c r="AL13" i="7"/>
  <c r="AL12" i="7"/>
  <c r="AL11" i="7"/>
  <c r="AL10" i="7"/>
  <c r="AL9" i="7"/>
  <c r="AL7" i="7"/>
  <c r="AL6" i="7"/>
  <c r="AL5" i="7"/>
  <c r="AL4" i="7"/>
  <c r="AK3" i="7"/>
  <c r="AJ3" i="7"/>
  <c r="AI3" i="7"/>
  <c r="AH3" i="7"/>
  <c r="AG3" i="7"/>
  <c r="AF3" i="7"/>
  <c r="AE3" i="7"/>
  <c r="AD3" i="7"/>
  <c r="AC3" i="7"/>
  <c r="AB3" i="7"/>
  <c r="AA3" i="7"/>
  <c r="Z3" i="7"/>
  <c r="Y3" i="7"/>
  <c r="X3" i="7"/>
  <c r="W3" i="7"/>
  <c r="V3" i="7"/>
  <c r="U3" i="7"/>
  <c r="T3" i="7"/>
  <c r="S3" i="7"/>
  <c r="R3" i="7"/>
  <c r="Q3" i="7"/>
  <c r="P3" i="7"/>
  <c r="O3" i="7"/>
  <c r="N3" i="7"/>
  <c r="M3" i="7"/>
  <c r="L3" i="7"/>
  <c r="K3" i="7"/>
  <c r="J3" i="7"/>
  <c r="I3" i="7"/>
  <c r="H3" i="7"/>
  <c r="G3" i="7"/>
  <c r="F3" i="7"/>
  <c r="E3" i="7"/>
  <c r="AL23" i="6"/>
  <c r="AL22" i="6"/>
  <c r="AK22" i="6"/>
  <c r="AJ22" i="6"/>
  <c r="AI22" i="6"/>
  <c r="AH22" i="6"/>
  <c r="AG22" i="6"/>
  <c r="AF22" i="6"/>
  <c r="AE22" i="6"/>
  <c r="AD22" i="6"/>
  <c r="AC22" i="6"/>
  <c r="AB22" i="6"/>
  <c r="AA22" i="6"/>
  <c r="Z22" i="6"/>
  <c r="Y22" i="6"/>
  <c r="X22" i="6"/>
  <c r="W22" i="6"/>
  <c r="V22" i="6"/>
  <c r="U22" i="6"/>
  <c r="T22" i="6"/>
  <c r="S22" i="6"/>
  <c r="R22" i="6"/>
  <c r="Q22" i="6"/>
  <c r="P22" i="6"/>
  <c r="O22" i="6"/>
  <c r="N22" i="6"/>
  <c r="M22" i="6"/>
  <c r="L22" i="6"/>
  <c r="K22" i="6"/>
  <c r="J22" i="6"/>
  <c r="I22" i="6"/>
  <c r="H22" i="6"/>
  <c r="G22" i="6"/>
  <c r="F22" i="6"/>
  <c r="E22" i="6"/>
  <c r="AK21" i="6"/>
  <c r="AJ21" i="6"/>
  <c r="AI21" i="6"/>
  <c r="AH21" i="6"/>
  <c r="AG21" i="6"/>
  <c r="AF21" i="6"/>
  <c r="AE21" i="6"/>
  <c r="AD21" i="6"/>
  <c r="AC21" i="6"/>
  <c r="AB21" i="6"/>
  <c r="AA21" i="6"/>
  <c r="Z21" i="6"/>
  <c r="Y21" i="6"/>
  <c r="X21" i="6"/>
  <c r="W21" i="6"/>
  <c r="V21" i="6"/>
  <c r="U21" i="6"/>
  <c r="T21" i="6"/>
  <c r="S21" i="6"/>
  <c r="R21" i="6"/>
  <c r="Q21" i="6"/>
  <c r="P21" i="6"/>
  <c r="O21" i="6"/>
  <c r="N21" i="6"/>
  <c r="M21" i="6"/>
  <c r="L21" i="6"/>
  <c r="K21" i="6"/>
  <c r="J21" i="6"/>
  <c r="I21" i="6"/>
  <c r="H21" i="6"/>
  <c r="G21" i="6"/>
  <c r="F21" i="6"/>
  <c r="E21" i="6"/>
  <c r="AL6" i="6"/>
  <c r="AL5" i="6"/>
  <c r="AL4" i="6"/>
  <c r="AK3" i="6"/>
  <c r="AJ3" i="6"/>
  <c r="AI3" i="6"/>
  <c r="AH3" i="6"/>
  <c r="AG3" i="6"/>
  <c r="AF3" i="6"/>
  <c r="AE3" i="6"/>
  <c r="AD3" i="6"/>
  <c r="AC3" i="6"/>
  <c r="AB3" i="6"/>
  <c r="AA3" i="6"/>
  <c r="Z3" i="6"/>
  <c r="Y3" i="6"/>
  <c r="X3" i="6"/>
  <c r="W3" i="6"/>
  <c r="V3" i="6"/>
  <c r="U3" i="6"/>
  <c r="T3" i="6"/>
  <c r="S3" i="6"/>
  <c r="R3" i="6"/>
  <c r="Q3" i="6"/>
  <c r="P3" i="6"/>
  <c r="O3" i="6"/>
  <c r="N3" i="6"/>
  <c r="M3" i="6"/>
  <c r="L3" i="6"/>
  <c r="K3" i="6"/>
  <c r="J3" i="6"/>
  <c r="I3" i="6"/>
  <c r="H3" i="6"/>
  <c r="G3" i="6"/>
  <c r="F3" i="6"/>
  <c r="E3" i="6"/>
  <c r="AM90" i="5"/>
  <c r="AM91" i="5" s="1"/>
  <c r="AH47" i="19" s="1"/>
  <c r="AL90" i="5"/>
  <c r="AL91" i="5" s="1"/>
  <c r="AG47" i="19" s="1"/>
  <c r="AK90" i="5"/>
  <c r="AK91" i="5" s="1"/>
  <c r="AF47" i="19" s="1"/>
  <c r="AJ90" i="5"/>
  <c r="AJ91" i="5" s="1"/>
  <c r="AE47" i="19" s="1"/>
  <c r="AI90" i="5"/>
  <c r="AI91" i="5" s="1"/>
  <c r="AD47" i="19" s="1"/>
  <c r="AH90" i="5"/>
  <c r="AH91" i="5" s="1"/>
  <c r="AC47" i="19" s="1"/>
  <c r="AG90" i="5"/>
  <c r="AG91" i="5" s="1"/>
  <c r="AB47" i="19" s="1"/>
  <c r="AF90" i="5"/>
  <c r="AF91" i="5" s="1"/>
  <c r="AA47" i="19" s="1"/>
  <c r="AE90" i="5"/>
  <c r="AE91" i="5" s="1"/>
  <c r="Z47" i="19" s="1"/>
  <c r="AD90" i="5"/>
  <c r="AD91" i="5" s="1"/>
  <c r="Y47" i="19" s="1"/>
  <c r="AC90" i="5"/>
  <c r="AC91" i="5" s="1"/>
  <c r="X47" i="19" s="1"/>
  <c r="AB90" i="5"/>
  <c r="AB91" i="5" s="1"/>
  <c r="W47" i="19" s="1"/>
  <c r="AA90" i="5"/>
  <c r="AA91" i="5" s="1"/>
  <c r="V47" i="19" s="1"/>
  <c r="Z90" i="5"/>
  <c r="Z91" i="5" s="1"/>
  <c r="U47" i="19" s="1"/>
  <c r="Y90" i="5"/>
  <c r="Y91" i="5" s="1"/>
  <c r="T47" i="19" s="1"/>
  <c r="X90" i="5"/>
  <c r="X91" i="5" s="1"/>
  <c r="S47" i="19" s="1"/>
  <c r="W90" i="5"/>
  <c r="W91" i="5" s="1"/>
  <c r="R47" i="19" s="1"/>
  <c r="V90" i="5"/>
  <c r="V91" i="5" s="1"/>
  <c r="Q47" i="19" s="1"/>
  <c r="U90" i="5"/>
  <c r="U91" i="5" s="1"/>
  <c r="P47" i="19" s="1"/>
  <c r="T90" i="5"/>
  <c r="T91" i="5" s="1"/>
  <c r="O47" i="19" s="1"/>
  <c r="S90" i="5"/>
  <c r="S91" i="5" s="1"/>
  <c r="N47" i="19" s="1"/>
  <c r="R90" i="5"/>
  <c r="R91" i="5" s="1"/>
  <c r="M47" i="19" s="1"/>
  <c r="Q90" i="5"/>
  <c r="Q91" i="5" s="1"/>
  <c r="L47" i="19" s="1"/>
  <c r="P90" i="5"/>
  <c r="P91" i="5" s="1"/>
  <c r="K47" i="19" s="1"/>
  <c r="O90" i="5"/>
  <c r="O91" i="5" s="1"/>
  <c r="J47" i="19" s="1"/>
  <c r="N90" i="5"/>
  <c r="N91" i="5" s="1"/>
  <c r="I47" i="19" s="1"/>
  <c r="M90" i="5"/>
  <c r="M91" i="5" s="1"/>
  <c r="H47" i="19" s="1"/>
  <c r="L90" i="5"/>
  <c r="L91" i="5" s="1"/>
  <c r="G47" i="19" s="1"/>
  <c r="K90" i="5"/>
  <c r="K91" i="5" s="1"/>
  <c r="F47" i="19" s="1"/>
  <c r="J90" i="5"/>
  <c r="J91" i="5" s="1"/>
  <c r="E47" i="19" s="1"/>
  <c r="I90" i="5"/>
  <c r="I91" i="5" s="1"/>
  <c r="D47" i="19" s="1"/>
  <c r="H90" i="5"/>
  <c r="H91" i="5" s="1"/>
  <c r="C47" i="19" s="1"/>
  <c r="G90" i="5"/>
  <c r="G91" i="5" s="1"/>
  <c r="F90" i="5"/>
  <c r="F91" i="5" s="1"/>
  <c r="AK89" i="5"/>
  <c r="AF46" i="19" s="1"/>
  <c r="AM88" i="5"/>
  <c r="AM89" i="5" s="1"/>
  <c r="AH46" i="19" s="1"/>
  <c r="AL88" i="5"/>
  <c r="AL89" i="5" s="1"/>
  <c r="AG46" i="19" s="1"/>
  <c r="AK88" i="5"/>
  <c r="AJ88" i="5"/>
  <c r="AJ89" i="5" s="1"/>
  <c r="AE46" i="19" s="1"/>
  <c r="AI88" i="5"/>
  <c r="AI89" i="5" s="1"/>
  <c r="AD46" i="19" s="1"/>
  <c r="AH88" i="5"/>
  <c r="AH89" i="5" s="1"/>
  <c r="AC46" i="19" s="1"/>
  <c r="AG88" i="5"/>
  <c r="AG89" i="5" s="1"/>
  <c r="AB46" i="19" s="1"/>
  <c r="AF88" i="5"/>
  <c r="AF89" i="5" s="1"/>
  <c r="AA46" i="19" s="1"/>
  <c r="AE88" i="5"/>
  <c r="AE89" i="5" s="1"/>
  <c r="Z46" i="19" s="1"/>
  <c r="AD88" i="5"/>
  <c r="AD89" i="5" s="1"/>
  <c r="Y46" i="19" s="1"/>
  <c r="AC88" i="5"/>
  <c r="AC89" i="5" s="1"/>
  <c r="X46" i="19" s="1"/>
  <c r="AB88" i="5"/>
  <c r="AB89" i="5" s="1"/>
  <c r="W46" i="19" s="1"/>
  <c r="AA88" i="5"/>
  <c r="AA89" i="5" s="1"/>
  <c r="V46" i="19" s="1"/>
  <c r="Z88" i="5"/>
  <c r="Z89" i="5" s="1"/>
  <c r="U46" i="19" s="1"/>
  <c r="Y88" i="5"/>
  <c r="Y89" i="5" s="1"/>
  <c r="T46" i="19" s="1"/>
  <c r="X88" i="5"/>
  <c r="X89" i="5" s="1"/>
  <c r="S46" i="19" s="1"/>
  <c r="W88" i="5"/>
  <c r="W89" i="5" s="1"/>
  <c r="R46" i="19" s="1"/>
  <c r="V88" i="5"/>
  <c r="V89" i="5" s="1"/>
  <c r="Q46" i="19" s="1"/>
  <c r="U88" i="5"/>
  <c r="U89" i="5" s="1"/>
  <c r="P46" i="19" s="1"/>
  <c r="T88" i="5"/>
  <c r="T89" i="5" s="1"/>
  <c r="O46" i="19" s="1"/>
  <c r="S88" i="5"/>
  <c r="S89" i="5" s="1"/>
  <c r="N46" i="19" s="1"/>
  <c r="R88" i="5"/>
  <c r="R89" i="5" s="1"/>
  <c r="M46" i="19" s="1"/>
  <c r="Q88" i="5"/>
  <c r="Q89" i="5" s="1"/>
  <c r="L46" i="19" s="1"/>
  <c r="P88" i="5"/>
  <c r="P89" i="5" s="1"/>
  <c r="K46" i="19" s="1"/>
  <c r="O88" i="5"/>
  <c r="O89" i="5" s="1"/>
  <c r="J46" i="19" s="1"/>
  <c r="N88" i="5"/>
  <c r="N89" i="5" s="1"/>
  <c r="I46" i="19" s="1"/>
  <c r="M88" i="5"/>
  <c r="M89" i="5" s="1"/>
  <c r="H46" i="19" s="1"/>
  <c r="L88" i="5"/>
  <c r="L89" i="5" s="1"/>
  <c r="G46" i="19" s="1"/>
  <c r="K88" i="5"/>
  <c r="K89" i="5" s="1"/>
  <c r="F46" i="19" s="1"/>
  <c r="J88" i="5"/>
  <c r="J89" i="5" s="1"/>
  <c r="E46" i="19" s="1"/>
  <c r="I88" i="5"/>
  <c r="I89" i="5" s="1"/>
  <c r="D46" i="19" s="1"/>
  <c r="H88" i="5"/>
  <c r="H89" i="5" s="1"/>
  <c r="C46" i="19" s="1"/>
  <c r="G88" i="5"/>
  <c r="F88" i="5"/>
  <c r="F89" i="5" s="1"/>
  <c r="M87" i="5"/>
  <c r="H45" i="19" s="1"/>
  <c r="F87" i="5"/>
  <c r="AM86" i="5"/>
  <c r="AM87" i="5" s="1"/>
  <c r="AH45" i="19" s="1"/>
  <c r="AL86" i="5"/>
  <c r="AL87" i="5" s="1"/>
  <c r="AG45" i="19" s="1"/>
  <c r="AK86" i="5"/>
  <c r="AK87" i="5" s="1"/>
  <c r="AF45" i="19" s="1"/>
  <c r="AJ86" i="5"/>
  <c r="AJ87" i="5" s="1"/>
  <c r="AE45" i="19" s="1"/>
  <c r="AI86" i="5"/>
  <c r="AI87" i="5" s="1"/>
  <c r="AD45" i="19" s="1"/>
  <c r="AH86" i="5"/>
  <c r="AH87" i="5" s="1"/>
  <c r="AC45" i="19" s="1"/>
  <c r="AG86" i="5"/>
  <c r="AG87" i="5" s="1"/>
  <c r="AB45" i="19" s="1"/>
  <c r="AF86" i="5"/>
  <c r="AF87" i="5" s="1"/>
  <c r="AA45" i="19" s="1"/>
  <c r="AE86" i="5"/>
  <c r="AE87" i="5" s="1"/>
  <c r="Z45" i="19" s="1"/>
  <c r="AD86" i="5"/>
  <c r="AD87" i="5" s="1"/>
  <c r="Y45" i="19" s="1"/>
  <c r="AC86" i="5"/>
  <c r="AC87" i="5" s="1"/>
  <c r="X45" i="19" s="1"/>
  <c r="AB86" i="5"/>
  <c r="AB87" i="5" s="1"/>
  <c r="W45" i="19" s="1"/>
  <c r="AA86" i="5"/>
  <c r="AA87" i="5" s="1"/>
  <c r="V45" i="19" s="1"/>
  <c r="Z86" i="5"/>
  <c r="Z87" i="5" s="1"/>
  <c r="U45" i="19" s="1"/>
  <c r="Y86" i="5"/>
  <c r="Y87" i="5" s="1"/>
  <c r="T45" i="19" s="1"/>
  <c r="X86" i="5"/>
  <c r="X87" i="5" s="1"/>
  <c r="S45" i="19" s="1"/>
  <c r="W86" i="5"/>
  <c r="W87" i="5" s="1"/>
  <c r="R45" i="19" s="1"/>
  <c r="V86" i="5"/>
  <c r="V87" i="5" s="1"/>
  <c r="Q45" i="19" s="1"/>
  <c r="U86" i="5"/>
  <c r="U87" i="5" s="1"/>
  <c r="P45" i="19" s="1"/>
  <c r="T86" i="5"/>
  <c r="T87" i="5" s="1"/>
  <c r="O45" i="19" s="1"/>
  <c r="S86" i="5"/>
  <c r="S87" i="5" s="1"/>
  <c r="N45" i="19" s="1"/>
  <c r="R86" i="5"/>
  <c r="R87" i="5" s="1"/>
  <c r="M45" i="19" s="1"/>
  <c r="Q86" i="5"/>
  <c r="Q87" i="5" s="1"/>
  <c r="L45" i="19" s="1"/>
  <c r="P86" i="5"/>
  <c r="P87" i="5" s="1"/>
  <c r="K45" i="19" s="1"/>
  <c r="O86" i="5"/>
  <c r="O87" i="5" s="1"/>
  <c r="J45" i="19" s="1"/>
  <c r="N86" i="5"/>
  <c r="N87" i="5" s="1"/>
  <c r="I45" i="19" s="1"/>
  <c r="M86" i="5"/>
  <c r="L86" i="5"/>
  <c r="L87" i="5" s="1"/>
  <c r="G45" i="19" s="1"/>
  <c r="K86" i="5"/>
  <c r="K87" i="5" s="1"/>
  <c r="F45" i="19" s="1"/>
  <c r="J86" i="5"/>
  <c r="J87" i="5" s="1"/>
  <c r="E45" i="19" s="1"/>
  <c r="I86" i="5"/>
  <c r="I87" i="5" s="1"/>
  <c r="D45" i="19" s="1"/>
  <c r="H86" i="5"/>
  <c r="H87" i="5" s="1"/>
  <c r="C45" i="19" s="1"/>
  <c r="G86" i="5"/>
  <c r="G87" i="5" s="1"/>
  <c r="F86" i="5"/>
  <c r="AM84" i="5"/>
  <c r="AM85" i="5" s="1"/>
  <c r="AH44" i="19" s="1"/>
  <c r="AL84" i="5"/>
  <c r="AL85" i="5" s="1"/>
  <c r="AG44" i="19" s="1"/>
  <c r="AK84" i="5"/>
  <c r="AK85" i="5" s="1"/>
  <c r="AF44" i="19" s="1"/>
  <c r="AJ84" i="5"/>
  <c r="AJ85" i="5" s="1"/>
  <c r="AE44" i="19" s="1"/>
  <c r="AI84" i="5"/>
  <c r="AI85" i="5" s="1"/>
  <c r="AD44" i="19" s="1"/>
  <c r="AH84" i="5"/>
  <c r="AH85" i="5" s="1"/>
  <c r="AC44" i="19" s="1"/>
  <c r="AG84" i="5"/>
  <c r="AG85" i="5" s="1"/>
  <c r="AB44" i="19" s="1"/>
  <c r="AF84" i="5"/>
  <c r="AF85" i="5" s="1"/>
  <c r="AA44" i="19" s="1"/>
  <c r="AE84" i="5"/>
  <c r="AE85" i="5" s="1"/>
  <c r="Z44" i="19" s="1"/>
  <c r="AD84" i="5"/>
  <c r="AD85" i="5" s="1"/>
  <c r="Y44" i="19" s="1"/>
  <c r="AC84" i="5"/>
  <c r="AC85" i="5" s="1"/>
  <c r="X44" i="19" s="1"/>
  <c r="AB84" i="5"/>
  <c r="AB85" i="5" s="1"/>
  <c r="W44" i="19" s="1"/>
  <c r="AA84" i="5"/>
  <c r="AA85" i="5" s="1"/>
  <c r="V44" i="19" s="1"/>
  <c r="Z84" i="5"/>
  <c r="Z85" i="5" s="1"/>
  <c r="U44" i="19" s="1"/>
  <c r="Y84" i="5"/>
  <c r="Y85" i="5" s="1"/>
  <c r="T44" i="19" s="1"/>
  <c r="X84" i="5"/>
  <c r="X85" i="5" s="1"/>
  <c r="S44" i="19" s="1"/>
  <c r="W84" i="5"/>
  <c r="W85" i="5" s="1"/>
  <c r="R44" i="19" s="1"/>
  <c r="V84" i="5"/>
  <c r="V85" i="5" s="1"/>
  <c r="Q44" i="19" s="1"/>
  <c r="U84" i="5"/>
  <c r="U85" i="5" s="1"/>
  <c r="P44" i="19" s="1"/>
  <c r="T84" i="5"/>
  <c r="T85" i="5" s="1"/>
  <c r="O44" i="19" s="1"/>
  <c r="S84" i="5"/>
  <c r="S85" i="5" s="1"/>
  <c r="N44" i="19" s="1"/>
  <c r="R84" i="5"/>
  <c r="R85" i="5" s="1"/>
  <c r="M44" i="19" s="1"/>
  <c r="Q84" i="5"/>
  <c r="Q85" i="5" s="1"/>
  <c r="L44" i="19" s="1"/>
  <c r="P84" i="5"/>
  <c r="P85" i="5" s="1"/>
  <c r="K44" i="19" s="1"/>
  <c r="O84" i="5"/>
  <c r="O85" i="5" s="1"/>
  <c r="J44" i="19" s="1"/>
  <c r="N84" i="5"/>
  <c r="N85" i="5" s="1"/>
  <c r="I44" i="19" s="1"/>
  <c r="M84" i="5"/>
  <c r="M85" i="5" s="1"/>
  <c r="H44" i="19" s="1"/>
  <c r="L84" i="5"/>
  <c r="L85" i="5" s="1"/>
  <c r="G44" i="19" s="1"/>
  <c r="K84" i="5"/>
  <c r="K85" i="5" s="1"/>
  <c r="F44" i="19" s="1"/>
  <c r="J84" i="5"/>
  <c r="J85" i="5" s="1"/>
  <c r="E44" i="19" s="1"/>
  <c r="I84" i="5"/>
  <c r="I85" i="5" s="1"/>
  <c r="D44" i="19" s="1"/>
  <c r="H84" i="5"/>
  <c r="H85" i="5" s="1"/>
  <c r="C44" i="19" s="1"/>
  <c r="G84" i="5"/>
  <c r="G85" i="5" s="1"/>
  <c r="B44" i="19" s="1"/>
  <c r="F84" i="5"/>
  <c r="F85" i="5" s="1"/>
  <c r="AM82" i="5"/>
  <c r="AL82" i="5"/>
  <c r="AK82" i="5"/>
  <c r="AJ82" i="5"/>
  <c r="AI82" i="5"/>
  <c r="AH82" i="5"/>
  <c r="AG82" i="5"/>
  <c r="AF82" i="5"/>
  <c r="AE82" i="5"/>
  <c r="AD82" i="5"/>
  <c r="AC82" i="5"/>
  <c r="AB82" i="5"/>
  <c r="AA82" i="5"/>
  <c r="Z82" i="5"/>
  <c r="Y82" i="5"/>
  <c r="X82" i="5"/>
  <c r="X83" i="5" s="1"/>
  <c r="S43" i="19" s="1"/>
  <c r="W82" i="5"/>
  <c r="V82" i="5"/>
  <c r="U82" i="5"/>
  <c r="T82" i="5"/>
  <c r="S82" i="5"/>
  <c r="R82" i="5"/>
  <c r="Q82" i="5"/>
  <c r="P82" i="5"/>
  <c r="O82" i="5"/>
  <c r="N82" i="5"/>
  <c r="N83" i="5" s="1"/>
  <c r="I43" i="19" s="1"/>
  <c r="M82" i="5"/>
  <c r="L82" i="5"/>
  <c r="K82" i="5"/>
  <c r="J82" i="5"/>
  <c r="I82" i="5"/>
  <c r="H82" i="5"/>
  <c r="G82" i="5"/>
  <c r="F82" i="5"/>
  <c r="AM81" i="5"/>
  <c r="AL81" i="5"/>
  <c r="AK81" i="5"/>
  <c r="AJ81" i="5"/>
  <c r="AI81" i="5"/>
  <c r="AH81" i="5"/>
  <c r="AG81" i="5"/>
  <c r="AG83" i="5" s="1"/>
  <c r="AB43" i="19" s="1"/>
  <c r="AF81" i="5"/>
  <c r="AE81" i="5"/>
  <c r="AD81" i="5"/>
  <c r="AC81" i="5"/>
  <c r="AB81" i="5"/>
  <c r="AA81" i="5"/>
  <c r="Z81" i="5"/>
  <c r="Y81" i="5"/>
  <c r="X81" i="5"/>
  <c r="W81" i="5"/>
  <c r="V81" i="5"/>
  <c r="U81" i="5"/>
  <c r="T81" i="5"/>
  <c r="T83" i="5" s="1"/>
  <c r="O43" i="19" s="1"/>
  <c r="S81" i="5"/>
  <c r="R81" i="5"/>
  <c r="Q81" i="5"/>
  <c r="P81" i="5"/>
  <c r="O81" i="5"/>
  <c r="N81" i="5"/>
  <c r="M81" i="5"/>
  <c r="M83" i="5" s="1"/>
  <c r="H43" i="19" s="1"/>
  <c r="L81" i="5"/>
  <c r="K81" i="5"/>
  <c r="J81" i="5"/>
  <c r="I81" i="5"/>
  <c r="H81" i="5"/>
  <c r="G81" i="5"/>
  <c r="F81" i="5"/>
  <c r="AM79" i="5"/>
  <c r="AL79" i="5"/>
  <c r="AK79" i="5"/>
  <c r="AJ79" i="5"/>
  <c r="AI79" i="5"/>
  <c r="AH79" i="5"/>
  <c r="AG79" i="5"/>
  <c r="AF79" i="5"/>
  <c r="AE79" i="5"/>
  <c r="AD79" i="5"/>
  <c r="AC79" i="5"/>
  <c r="AB79" i="5"/>
  <c r="AA79" i="5"/>
  <c r="Z79" i="5"/>
  <c r="Y79" i="5"/>
  <c r="X79" i="5"/>
  <c r="W79" i="5"/>
  <c r="V79" i="5"/>
  <c r="U79" i="5"/>
  <c r="T79" i="5"/>
  <c r="S79" i="5"/>
  <c r="R79" i="5"/>
  <c r="Q79" i="5"/>
  <c r="P79" i="5"/>
  <c r="O79" i="5"/>
  <c r="N79" i="5"/>
  <c r="M79" i="5"/>
  <c r="L79" i="5"/>
  <c r="K79" i="5"/>
  <c r="J79" i="5"/>
  <c r="I79" i="5"/>
  <c r="H79" i="5"/>
  <c r="G79" i="5"/>
  <c r="F79" i="5"/>
  <c r="AM78" i="5"/>
  <c r="AL78" i="5"/>
  <c r="AK78" i="5"/>
  <c r="AJ78" i="5"/>
  <c r="AI78" i="5"/>
  <c r="AH78" i="5"/>
  <c r="AG78" i="5"/>
  <c r="AF78" i="5"/>
  <c r="AE78" i="5"/>
  <c r="AD78" i="5"/>
  <c r="AC78" i="5"/>
  <c r="AB78" i="5"/>
  <c r="AA78" i="5"/>
  <c r="Z78" i="5"/>
  <c r="Y78" i="5"/>
  <c r="X78" i="5"/>
  <c r="W78" i="5"/>
  <c r="V78" i="5"/>
  <c r="U78" i="5"/>
  <c r="T78" i="5"/>
  <c r="S78" i="5"/>
  <c r="R78" i="5"/>
  <c r="Q78" i="5"/>
  <c r="P78" i="5"/>
  <c r="O78" i="5"/>
  <c r="N78" i="5"/>
  <c r="M78" i="5"/>
  <c r="L78" i="5"/>
  <c r="K78" i="5"/>
  <c r="J78" i="5"/>
  <c r="I78" i="5"/>
  <c r="H78" i="5"/>
  <c r="G78" i="5"/>
  <c r="F78" i="5"/>
  <c r="AM77" i="5"/>
  <c r="AL77" i="5"/>
  <c r="AK77" i="5"/>
  <c r="AJ77" i="5"/>
  <c r="AI77" i="5"/>
  <c r="AH77" i="5"/>
  <c r="AH80" i="5" s="1"/>
  <c r="AG77" i="5"/>
  <c r="AG80" i="5" s="1"/>
  <c r="AF77" i="5"/>
  <c r="AE77" i="5"/>
  <c r="AD77" i="5"/>
  <c r="AC77" i="5"/>
  <c r="AB77" i="5"/>
  <c r="AA77" i="5"/>
  <c r="Z77" i="5"/>
  <c r="Y77" i="5"/>
  <c r="X77" i="5"/>
  <c r="W77" i="5"/>
  <c r="V77" i="5"/>
  <c r="U77" i="5"/>
  <c r="T77" i="5"/>
  <c r="S77" i="5"/>
  <c r="R77" i="5"/>
  <c r="Q77" i="5"/>
  <c r="P77" i="5"/>
  <c r="O77" i="5"/>
  <c r="N77" i="5"/>
  <c r="M77" i="5"/>
  <c r="M80" i="5" s="1"/>
  <c r="L77" i="5"/>
  <c r="K77" i="5"/>
  <c r="J77" i="5"/>
  <c r="I77" i="5"/>
  <c r="H77" i="5"/>
  <c r="G77" i="5"/>
  <c r="F77" i="5"/>
  <c r="AM76" i="5"/>
  <c r="AL76" i="5"/>
  <c r="AK76" i="5"/>
  <c r="AJ76" i="5"/>
  <c r="AI76" i="5"/>
  <c r="AH76" i="5"/>
  <c r="AG76" i="5"/>
  <c r="AF76" i="5"/>
  <c r="AE76" i="5"/>
  <c r="AD76" i="5"/>
  <c r="AC76" i="5"/>
  <c r="AB76" i="5"/>
  <c r="AA76" i="5"/>
  <c r="Z76" i="5"/>
  <c r="Y76" i="5"/>
  <c r="X76" i="5"/>
  <c r="W76" i="5"/>
  <c r="V76" i="5"/>
  <c r="U76" i="5"/>
  <c r="T76" i="5"/>
  <c r="S76" i="5"/>
  <c r="R76" i="5"/>
  <c r="Q76" i="5"/>
  <c r="P76" i="5"/>
  <c r="O76" i="5"/>
  <c r="N76" i="5"/>
  <c r="M76" i="5"/>
  <c r="L76" i="5"/>
  <c r="K76" i="5"/>
  <c r="J76" i="5"/>
  <c r="I76" i="5"/>
  <c r="H76" i="5"/>
  <c r="G76" i="5"/>
  <c r="AN73" i="5"/>
  <c r="AN72" i="5"/>
  <c r="AN71" i="5"/>
  <c r="AN70" i="5"/>
  <c r="AN69" i="5"/>
  <c r="AN68" i="5"/>
  <c r="AN67" i="5"/>
  <c r="AN66" i="5"/>
  <c r="AN65" i="5"/>
  <c r="AN64" i="5"/>
  <c r="AN63" i="5"/>
  <c r="AN62" i="5"/>
  <c r="AN61" i="5"/>
  <c r="AN60" i="5"/>
  <c r="AN59" i="5"/>
  <c r="AN58" i="5"/>
  <c r="AN57" i="5"/>
  <c r="AN56" i="5"/>
  <c r="AN55" i="5"/>
  <c r="AN54" i="5"/>
  <c r="AN53" i="5"/>
  <c r="AN52" i="5"/>
  <c r="AN51" i="5"/>
  <c r="AN50" i="5"/>
  <c r="AN49" i="5"/>
  <c r="AN48" i="5"/>
  <c r="AN47" i="5"/>
  <c r="AN46" i="5"/>
  <c r="AN45" i="5"/>
  <c r="AN44" i="5"/>
  <c r="AN43" i="5"/>
  <c r="AN42" i="5"/>
  <c r="AN41" i="5"/>
  <c r="AN40"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N8" i="5"/>
  <c r="AN7" i="5"/>
  <c r="AN6" i="5"/>
  <c r="AN5"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E113" i="4"/>
  <c r="F113" i="4" s="1"/>
  <c r="G113" i="4" s="1"/>
  <c r="D113" i="4"/>
  <c r="C113" i="4"/>
  <c r="B113" i="4"/>
  <c r="E112" i="4"/>
  <c r="D112" i="4"/>
  <c r="C112" i="4"/>
  <c r="B112" i="4"/>
  <c r="E111" i="4"/>
  <c r="F111" i="4" s="1"/>
  <c r="G111" i="4" s="1"/>
  <c r="D111" i="4"/>
  <c r="C111" i="4"/>
  <c r="B111" i="4"/>
  <c r="E110" i="4"/>
  <c r="D110" i="4"/>
  <c r="C110" i="4"/>
  <c r="B110" i="4"/>
  <c r="E109" i="4"/>
  <c r="D109" i="4"/>
  <c r="C109" i="4"/>
  <c r="B109" i="4"/>
  <c r="E108" i="4"/>
  <c r="F108" i="4" s="1"/>
  <c r="G108" i="4" s="1"/>
  <c r="D108" i="4"/>
  <c r="C108" i="4"/>
  <c r="B108" i="4"/>
  <c r="I104" i="4"/>
  <c r="J104" i="4" s="1"/>
  <c r="I103" i="4"/>
  <c r="J103" i="4" s="1"/>
  <c r="I102" i="4"/>
  <c r="J102" i="4" s="1"/>
  <c r="I101" i="4"/>
  <c r="J101" i="4" s="1"/>
  <c r="I100" i="4"/>
  <c r="J100" i="4" s="1"/>
  <c r="I99" i="4"/>
  <c r="J99" i="4" s="1"/>
  <c r="I98" i="4"/>
  <c r="J98" i="4" s="1"/>
  <c r="I97" i="4"/>
  <c r="J97" i="4" s="1"/>
  <c r="I96" i="4"/>
  <c r="J96" i="4" s="1"/>
  <c r="I95" i="4"/>
  <c r="J95" i="4" s="1"/>
  <c r="I94" i="4"/>
  <c r="J94" i="4" s="1"/>
  <c r="I93" i="4"/>
  <c r="J93" i="4" s="1"/>
  <c r="I92" i="4"/>
  <c r="J92" i="4" s="1"/>
  <c r="I91" i="4"/>
  <c r="J91" i="4" s="1"/>
  <c r="I90" i="4"/>
  <c r="J90" i="4" s="1"/>
  <c r="I89" i="4"/>
  <c r="J89" i="4" s="1"/>
  <c r="I88" i="4"/>
  <c r="J88" i="4" s="1"/>
  <c r="I87" i="4"/>
  <c r="J87" i="4" s="1"/>
  <c r="I86" i="4"/>
  <c r="J86" i="4" s="1"/>
  <c r="I85" i="4"/>
  <c r="J85" i="4" s="1"/>
  <c r="I84" i="4"/>
  <c r="J84" i="4" s="1"/>
  <c r="I83" i="4"/>
  <c r="J83" i="4" s="1"/>
  <c r="I82" i="4"/>
  <c r="J82" i="4" s="1"/>
  <c r="I81" i="4"/>
  <c r="J81" i="4" s="1"/>
  <c r="I80" i="4"/>
  <c r="J80" i="4" s="1"/>
  <c r="I79" i="4"/>
  <c r="J79" i="4" s="1"/>
  <c r="I78" i="4"/>
  <c r="J78" i="4" s="1"/>
  <c r="I77" i="4"/>
  <c r="J77" i="4" s="1"/>
  <c r="I76" i="4"/>
  <c r="J76" i="4" s="1"/>
  <c r="I75" i="4"/>
  <c r="J75" i="4" s="1"/>
  <c r="I74" i="4"/>
  <c r="J74" i="4" s="1"/>
  <c r="I73" i="4"/>
  <c r="J73" i="4" s="1"/>
  <c r="I72" i="4"/>
  <c r="J72" i="4" s="1"/>
  <c r="I71" i="4"/>
  <c r="J71" i="4" s="1"/>
  <c r="I70" i="4"/>
  <c r="J70" i="4" s="1"/>
  <c r="I69" i="4"/>
  <c r="J69" i="4" s="1"/>
  <c r="I68" i="4"/>
  <c r="J68" i="4" s="1"/>
  <c r="I67" i="4"/>
  <c r="J67" i="4" s="1"/>
  <c r="I66" i="4"/>
  <c r="J66" i="4" s="1"/>
  <c r="I65" i="4"/>
  <c r="J65" i="4" s="1"/>
  <c r="I64" i="4"/>
  <c r="J64" i="4" s="1"/>
  <c r="I63" i="4"/>
  <c r="J63" i="4" s="1"/>
  <c r="I62" i="4"/>
  <c r="J62" i="4" s="1"/>
  <c r="I61" i="4"/>
  <c r="J61" i="4" s="1"/>
  <c r="I60" i="4"/>
  <c r="J60" i="4" s="1"/>
  <c r="I59" i="4"/>
  <c r="J59" i="4" s="1"/>
  <c r="I58" i="4"/>
  <c r="J58" i="4" s="1"/>
  <c r="I57" i="4"/>
  <c r="J57" i="4" s="1"/>
  <c r="I56" i="4"/>
  <c r="J56" i="4" s="1"/>
  <c r="I55" i="4"/>
  <c r="J55" i="4" s="1"/>
  <c r="I54" i="4"/>
  <c r="J54" i="4" s="1"/>
  <c r="I53" i="4"/>
  <c r="J53" i="4" s="1"/>
  <c r="I52" i="4"/>
  <c r="J52" i="4" s="1"/>
  <c r="I51" i="4"/>
  <c r="J51" i="4" s="1"/>
  <c r="I50" i="4"/>
  <c r="J50" i="4" s="1"/>
  <c r="I49" i="4"/>
  <c r="J49" i="4" s="1"/>
  <c r="I48" i="4"/>
  <c r="J48" i="4" s="1"/>
  <c r="I47" i="4"/>
  <c r="J47" i="4" s="1"/>
  <c r="I46" i="4"/>
  <c r="J46" i="4" s="1"/>
  <c r="I45" i="4"/>
  <c r="J45" i="4" s="1"/>
  <c r="I44" i="4"/>
  <c r="J44" i="4" s="1"/>
  <c r="I43" i="4"/>
  <c r="J43" i="4" s="1"/>
  <c r="I42" i="4"/>
  <c r="J42" i="4" s="1"/>
  <c r="I41" i="4"/>
  <c r="J41" i="4" s="1"/>
  <c r="I40" i="4"/>
  <c r="J40" i="4" s="1"/>
  <c r="I39" i="4"/>
  <c r="J39" i="4" s="1"/>
  <c r="I38" i="4"/>
  <c r="J38" i="4" s="1"/>
  <c r="I37" i="4"/>
  <c r="J37" i="4" s="1"/>
  <c r="I36" i="4"/>
  <c r="J36" i="4" s="1"/>
  <c r="I35" i="4"/>
  <c r="J35" i="4" s="1"/>
  <c r="I34" i="4"/>
  <c r="J34" i="4" s="1"/>
  <c r="I33" i="4"/>
  <c r="J33" i="4" s="1"/>
  <c r="I32" i="4"/>
  <c r="J32" i="4" s="1"/>
  <c r="I31" i="4"/>
  <c r="J31" i="4" s="1"/>
  <c r="I30" i="4"/>
  <c r="J30" i="4" s="1"/>
  <c r="I29" i="4"/>
  <c r="J29" i="4" s="1"/>
  <c r="I28" i="4"/>
  <c r="J28" i="4" s="1"/>
  <c r="I27" i="4"/>
  <c r="J27" i="4" s="1"/>
  <c r="I26" i="4"/>
  <c r="J26" i="4" s="1"/>
  <c r="I25" i="4"/>
  <c r="J25" i="4" s="1"/>
  <c r="I24" i="4"/>
  <c r="J24" i="4" s="1"/>
  <c r="I23" i="4"/>
  <c r="J23" i="4" s="1"/>
  <c r="I22" i="4"/>
  <c r="J22" i="4" s="1"/>
  <c r="I21" i="4"/>
  <c r="J21" i="4" s="1"/>
  <c r="I20" i="4"/>
  <c r="J20" i="4" s="1"/>
  <c r="I19" i="4"/>
  <c r="J19" i="4" s="1"/>
  <c r="I18" i="4"/>
  <c r="J18" i="4" s="1"/>
  <c r="I17" i="4"/>
  <c r="J17" i="4" s="1"/>
  <c r="I16" i="4"/>
  <c r="J16" i="4" s="1"/>
  <c r="I15" i="4"/>
  <c r="J15" i="4" s="1"/>
  <c r="I14" i="4"/>
  <c r="J14" i="4" s="1"/>
  <c r="I13" i="4"/>
  <c r="J13" i="4" s="1"/>
  <c r="I12" i="4"/>
  <c r="J12" i="4" s="1"/>
  <c r="I11" i="4"/>
  <c r="J11" i="4" s="1"/>
  <c r="I10" i="4"/>
  <c r="J10" i="4" s="1"/>
  <c r="I9" i="4"/>
  <c r="J9" i="4" s="1"/>
  <c r="I8" i="4"/>
  <c r="J8" i="4" s="1"/>
  <c r="I7" i="4"/>
  <c r="J7" i="4" s="1"/>
  <c r="I6" i="4"/>
  <c r="J6" i="4" s="1"/>
  <c r="I5" i="4"/>
  <c r="J5" i="4" s="1"/>
  <c r="G218" i="20" l="1"/>
  <c r="G216" i="20"/>
  <c r="F214" i="20"/>
  <c r="G213" i="20"/>
  <c r="G210" i="20"/>
  <c r="F208" i="20"/>
  <c r="G208" i="20"/>
  <c r="G207" i="20"/>
  <c r="F203" i="20"/>
  <c r="G203" i="20"/>
  <c r="F207" i="20"/>
  <c r="F198" i="20"/>
  <c r="G212" i="20"/>
  <c r="G206" i="20"/>
  <c r="F212" i="20"/>
  <c r="F213" i="20"/>
  <c r="G217" i="20"/>
  <c r="G202" i="20"/>
  <c r="F205" i="20"/>
  <c r="F217" i="20"/>
  <c r="G194" i="20"/>
  <c r="G193" i="20"/>
  <c r="G192" i="20"/>
  <c r="F187" i="20"/>
  <c r="D139" i="20"/>
  <c r="D119" i="20"/>
  <c r="D125" i="20"/>
  <c r="D140" i="20"/>
  <c r="D100" i="20"/>
  <c r="D82" i="20"/>
  <c r="D95" i="20"/>
  <c r="D108" i="20"/>
  <c r="D80" i="20"/>
  <c r="D83" i="20"/>
  <c r="D88" i="20"/>
  <c r="D96" i="20"/>
  <c r="D101" i="20"/>
  <c r="D99" i="20"/>
  <c r="AM80" i="5"/>
  <c r="AH83" i="5"/>
  <c r="AC43" i="19" s="1"/>
  <c r="W80" i="5"/>
  <c r="S80" i="5"/>
  <c r="N42" i="19" s="1"/>
  <c r="I80" i="5"/>
  <c r="G189" i="20"/>
  <c r="D117" i="20"/>
  <c r="D81" i="20"/>
  <c r="G187" i="20"/>
  <c r="G186" i="20"/>
  <c r="L51" i="8"/>
  <c r="D13" i="20" s="1"/>
  <c r="AF51" i="8"/>
  <c r="D33" i="20" s="1"/>
  <c r="J48" i="8"/>
  <c r="AH48" i="8"/>
  <c r="AH51" i="8" s="1"/>
  <c r="D35" i="20" s="1"/>
  <c r="M51" i="8"/>
  <c r="D14" i="20" s="1"/>
  <c r="K48" i="8"/>
  <c r="K51" i="8" s="1"/>
  <c r="D12" i="20" s="1"/>
  <c r="S48" i="8"/>
  <c r="S51" i="8" s="1"/>
  <c r="D20" i="20" s="1"/>
  <c r="AI48" i="8"/>
  <c r="AI51" i="8" s="1"/>
  <c r="D36" i="20" s="1"/>
  <c r="R48" i="8"/>
  <c r="R51" i="8" s="1"/>
  <c r="D19" i="20" s="1"/>
  <c r="F51" i="8"/>
  <c r="D7" i="20" s="1"/>
  <c r="V51" i="8"/>
  <c r="D23" i="20" s="1"/>
  <c r="Z48" i="8"/>
  <c r="Z51" i="8"/>
  <c r="D27" i="20" s="1"/>
  <c r="E51" i="8"/>
  <c r="D6" i="20" s="1"/>
  <c r="AC51" i="8"/>
  <c r="D30" i="20" s="1"/>
  <c r="O51" i="8"/>
  <c r="D16" i="20" s="1"/>
  <c r="Y51" i="8"/>
  <c r="D26" i="20" s="1"/>
  <c r="AJ51" i="8"/>
  <c r="D37" i="20" s="1"/>
  <c r="O31" i="7"/>
  <c r="W31" i="7"/>
  <c r="AE31" i="7"/>
  <c r="G30" i="7"/>
  <c r="O30" i="7"/>
  <c r="W30" i="7"/>
  <c r="AE30" i="7"/>
  <c r="D15" i="9"/>
  <c r="D53" i="20" s="1"/>
  <c r="H30" i="7"/>
  <c r="AF30" i="7"/>
  <c r="B225" i="20"/>
  <c r="C223" i="20"/>
  <c r="F204" i="20"/>
  <c r="G209" i="20"/>
  <c r="F193" i="20"/>
  <c r="G198" i="20"/>
  <c r="G214" i="20"/>
  <c r="G188" i="20"/>
  <c r="G197" i="20"/>
  <c r="G204" i="20"/>
  <c r="F186" i="20"/>
  <c r="F202" i="20"/>
  <c r="F195" i="20"/>
  <c r="F192" i="20"/>
  <c r="F197" i="20"/>
  <c r="F206" i="20"/>
  <c r="G196" i="20"/>
  <c r="G199" i="20"/>
  <c r="F194" i="20"/>
  <c r="D115" i="20"/>
  <c r="D124" i="20"/>
  <c r="D142" i="20"/>
  <c r="D143" i="20"/>
  <c r="D122" i="20"/>
  <c r="D144" i="20"/>
  <c r="D114" i="20"/>
  <c r="D132" i="20"/>
  <c r="D135" i="20"/>
  <c r="D134" i="20"/>
  <c r="D127" i="20"/>
  <c r="D94" i="20"/>
  <c r="D103" i="20"/>
  <c r="D91" i="20"/>
  <c r="D109" i="20"/>
  <c r="D79" i="20"/>
  <c r="D98" i="20"/>
  <c r="D110" i="20"/>
  <c r="D86" i="20"/>
  <c r="D102" i="20"/>
  <c r="D78" i="20"/>
  <c r="D87" i="20"/>
  <c r="U51" i="8"/>
  <c r="D22" i="20" s="1"/>
  <c r="AE51" i="8"/>
  <c r="D32" i="20" s="1"/>
  <c r="G51" i="8"/>
  <c r="D8" i="20" s="1"/>
  <c r="Q51" i="8"/>
  <c r="D18" i="20" s="1"/>
  <c r="AA51" i="8"/>
  <c r="D28" i="20" s="1"/>
  <c r="AK51" i="8"/>
  <c r="D38" i="20" s="1"/>
  <c r="W51" i="8"/>
  <c r="D24" i="20" s="1"/>
  <c r="H51" i="8"/>
  <c r="D9" i="20" s="1"/>
  <c r="AB51" i="8"/>
  <c r="D29" i="20" s="1"/>
  <c r="AD51" i="8"/>
  <c r="D31" i="20" s="1"/>
  <c r="P51" i="8"/>
  <c r="D17" i="20" s="1"/>
  <c r="AL33" i="7"/>
  <c r="AL24" i="6"/>
  <c r="AL83" i="5"/>
  <c r="AG43" i="19" s="1"/>
  <c r="I83" i="5"/>
  <c r="D43" i="19" s="1"/>
  <c r="AC83" i="5"/>
  <c r="X43" i="19" s="1"/>
  <c r="S83" i="5"/>
  <c r="N43" i="19" s="1"/>
  <c r="AM83" i="5"/>
  <c r="AH43" i="19" s="1"/>
  <c r="H80" i="5"/>
  <c r="H92" i="5" s="1"/>
  <c r="AB80" i="5"/>
  <c r="AL80" i="5"/>
  <c r="AG42" i="19" s="1"/>
  <c r="J83" i="5"/>
  <c r="E43" i="19" s="1"/>
  <c r="AD83" i="5"/>
  <c r="Y43" i="19" s="1"/>
  <c r="H83" i="5"/>
  <c r="C43" i="19" s="1"/>
  <c r="R83" i="5"/>
  <c r="M43" i="19" s="1"/>
  <c r="AB83" i="5"/>
  <c r="W43" i="19" s="1"/>
  <c r="AN77" i="5"/>
  <c r="Q80" i="5"/>
  <c r="L42" i="19" s="1"/>
  <c r="Y83" i="5"/>
  <c r="T43" i="19" s="1"/>
  <c r="AI83" i="5"/>
  <c r="AD43" i="19" s="1"/>
  <c r="U83" i="5"/>
  <c r="P43" i="19" s="1"/>
  <c r="R80" i="5"/>
  <c r="M42" i="19" s="1"/>
  <c r="F83" i="5"/>
  <c r="F92" i="5" s="1"/>
  <c r="P83" i="5"/>
  <c r="K43" i="19" s="1"/>
  <c r="Z83" i="5"/>
  <c r="U43" i="19" s="1"/>
  <c r="AJ83" i="5"/>
  <c r="AE43" i="19" s="1"/>
  <c r="V83" i="5"/>
  <c r="Q43" i="19" s="1"/>
  <c r="AF83" i="5"/>
  <c r="AA43" i="19" s="1"/>
  <c r="AC80" i="5"/>
  <c r="X42" i="19" s="1"/>
  <c r="Q83" i="5"/>
  <c r="L43" i="19" s="1"/>
  <c r="AA83" i="5"/>
  <c r="V43" i="19" s="1"/>
  <c r="AK83" i="5"/>
  <c r="AF43" i="19" s="1"/>
  <c r="AN88" i="5"/>
  <c r="AN81" i="5"/>
  <c r="O80" i="5"/>
  <c r="J42" i="19" s="1"/>
  <c r="AI80" i="5"/>
  <c r="AD42" i="19" s="1"/>
  <c r="P80" i="5"/>
  <c r="K42" i="19" s="1"/>
  <c r="Y80" i="5"/>
  <c r="T42" i="19" s="1"/>
  <c r="Z80" i="5"/>
  <c r="Z92" i="5" s="1"/>
  <c r="O83" i="5"/>
  <c r="J43" i="19" s="1"/>
  <c r="AN79" i="5"/>
  <c r="K83" i="5"/>
  <c r="F43" i="19" s="1"/>
  <c r="AE83" i="5"/>
  <c r="Z43" i="19" s="1"/>
  <c r="AN82" i="5"/>
  <c r="N80" i="5"/>
  <c r="AA80" i="5"/>
  <c r="V42" i="19" s="1"/>
  <c r="J80" i="5"/>
  <c r="E42" i="19" s="1"/>
  <c r="T80" i="5"/>
  <c r="O42" i="19" s="1"/>
  <c r="AD80" i="5"/>
  <c r="Y42" i="19" s="1"/>
  <c r="L83" i="5"/>
  <c r="G43" i="19" s="1"/>
  <c r="K80" i="5"/>
  <c r="F42" i="19" s="1"/>
  <c r="U80" i="5"/>
  <c r="AE80" i="5"/>
  <c r="Z42" i="19" s="1"/>
  <c r="F80" i="5"/>
  <c r="AJ80" i="5"/>
  <c r="AJ92" i="5" s="1"/>
  <c r="W83" i="5"/>
  <c r="R43" i="19" s="1"/>
  <c r="X80" i="5"/>
  <c r="S42" i="19" s="1"/>
  <c r="L80" i="5"/>
  <c r="G42" i="19" s="1"/>
  <c r="V80" i="5"/>
  <c r="Q42" i="19" s="1"/>
  <c r="AF80" i="5"/>
  <c r="AA42" i="19" s="1"/>
  <c r="AN78" i="5"/>
  <c r="AK80" i="5"/>
  <c r="AF42" i="19" s="1"/>
  <c r="D114" i="4"/>
  <c r="F112" i="4"/>
  <c r="G112" i="4" s="1"/>
  <c r="B114" i="4"/>
  <c r="C114" i="4"/>
  <c r="B45" i="19"/>
  <c r="AN87" i="5"/>
  <c r="D42" i="19"/>
  <c r="AH42" i="19"/>
  <c r="C42" i="19"/>
  <c r="W42" i="19"/>
  <c r="U42" i="19"/>
  <c r="B47" i="19"/>
  <c r="AN91" i="5"/>
  <c r="P42" i="19"/>
  <c r="AL92" i="5"/>
  <c r="G80" i="5"/>
  <c r="F110" i="4"/>
  <c r="G110" i="4" s="1"/>
  <c r="G89" i="5"/>
  <c r="AN90" i="5"/>
  <c r="F109" i="4"/>
  <c r="G109" i="4" s="1"/>
  <c r="AN85" i="5"/>
  <c r="E114" i="4"/>
  <c r="F114" i="4" s="1"/>
  <c r="G114" i="4" s="1"/>
  <c r="I51" i="8"/>
  <c r="D10" i="20" s="1"/>
  <c r="G83" i="5"/>
  <c r="AN84" i="5"/>
  <c r="H42" i="19"/>
  <c r="M92" i="5"/>
  <c r="R42" i="19"/>
  <c r="AG92" i="5"/>
  <c r="AB42" i="19"/>
  <c r="AN86" i="5"/>
  <c r="AG51" i="8"/>
  <c r="D34" i="20" s="1"/>
  <c r="I42" i="19"/>
  <c r="N92" i="5"/>
  <c r="AC42" i="19"/>
  <c r="N51" i="8"/>
  <c r="D15" i="20" s="1"/>
  <c r="X51" i="8"/>
  <c r="D25" i="20" s="1"/>
  <c r="J51" i="8"/>
  <c r="D11" i="20" s="1"/>
  <c r="T51" i="8"/>
  <c r="D21" i="20" s="1"/>
  <c r="B224" i="20"/>
  <c r="C224" i="20"/>
  <c r="C222" i="20"/>
  <c r="B223" i="20"/>
  <c r="D223" i="20" s="1"/>
  <c r="C226" i="20"/>
  <c r="G190" i="20"/>
  <c r="F190" i="20"/>
  <c r="G215" i="20"/>
  <c r="F215" i="20"/>
  <c r="G195" i="20"/>
  <c r="G205" i="20"/>
  <c r="G200" i="20"/>
  <c r="F200" i="20"/>
  <c r="F189" i="20"/>
  <c r="G191" i="20"/>
  <c r="D131" i="20"/>
  <c r="F191" i="20"/>
  <c r="F199" i="20"/>
  <c r="F209" i="20"/>
  <c r="B222" i="20"/>
  <c r="C225" i="20"/>
  <c r="B226" i="20"/>
  <c r="D126" i="20"/>
  <c r="F188" i="20"/>
  <c r="G201" i="20"/>
  <c r="F201" i="20"/>
  <c r="G211" i="20"/>
  <c r="F211" i="20"/>
  <c r="F218" i="20"/>
  <c r="F210" i="20"/>
  <c r="D225" i="20" l="1"/>
  <c r="D222" i="20"/>
  <c r="AK92" i="5"/>
  <c r="AE42" i="19"/>
  <c r="AH92" i="5"/>
  <c r="B33" i="19" s="1"/>
  <c r="AD92" i="5"/>
  <c r="AD93" i="5" s="1"/>
  <c r="U92" i="5"/>
  <c r="T92" i="5"/>
  <c r="R92" i="5"/>
  <c r="K92" i="5"/>
  <c r="I92" i="5"/>
  <c r="B8" i="19" s="1"/>
  <c r="D226" i="20"/>
  <c r="Q92" i="5"/>
  <c r="Y92" i="5"/>
  <c r="Y93" i="5" s="1"/>
  <c r="AB92" i="5"/>
  <c r="B27" i="19" s="1"/>
  <c r="AE92" i="5"/>
  <c r="X92" i="5"/>
  <c r="B23" i="19" s="1"/>
  <c r="S92" i="5"/>
  <c r="S93" i="5" s="1"/>
  <c r="AA92" i="5"/>
  <c r="B26" i="19" s="1"/>
  <c r="P92" i="5"/>
  <c r="P93" i="5" s="1"/>
  <c r="V92" i="5"/>
  <c r="B21" i="19" s="1"/>
  <c r="W92" i="5"/>
  <c r="W93" i="5" s="1"/>
  <c r="J92" i="5"/>
  <c r="B9" i="19" s="1"/>
  <c r="AI92" i="5"/>
  <c r="B34" i="19" s="1"/>
  <c r="AM92" i="5"/>
  <c r="AC92" i="5"/>
  <c r="B28" i="19" s="1"/>
  <c r="AF92" i="5"/>
  <c r="B31" i="19" s="1"/>
  <c r="L92" i="5"/>
  <c r="L93" i="5" s="1"/>
  <c r="O92" i="5"/>
  <c r="O93" i="5" s="1"/>
  <c r="D224" i="20"/>
  <c r="B35" i="19"/>
  <c r="AJ93" i="5"/>
  <c r="B16" i="19"/>
  <c r="Q93" i="5"/>
  <c r="T93" i="5"/>
  <c r="B19" i="19"/>
  <c r="AH93" i="5"/>
  <c r="B46" i="19"/>
  <c r="AN89" i="5"/>
  <c r="B25" i="19"/>
  <c r="Z93" i="5"/>
  <c r="B7" i="19"/>
  <c r="H93" i="5"/>
  <c r="B43" i="19"/>
  <c r="AN83" i="5"/>
  <c r="B30" i="19"/>
  <c r="AE93" i="5"/>
  <c r="B42" i="19"/>
  <c r="G92" i="5"/>
  <c r="AN80" i="5"/>
  <c r="B13" i="19"/>
  <c r="N93" i="5"/>
  <c r="B17" i="19"/>
  <c r="R93" i="5"/>
  <c r="B32" i="19"/>
  <c r="AG93" i="5"/>
  <c r="B37" i="19"/>
  <c r="AL93" i="5"/>
  <c r="B20" i="19"/>
  <c r="U93" i="5"/>
  <c r="B36" i="19"/>
  <c r="AK93" i="5"/>
  <c r="B10" i="19"/>
  <c r="K93" i="5"/>
  <c r="B38" i="19"/>
  <c r="AM93" i="5"/>
  <c r="B14" i="19"/>
  <c r="B12" i="19"/>
  <c r="M93" i="5"/>
  <c r="J93" i="5"/>
  <c r="AI93" i="5" l="1"/>
  <c r="C34" i="19" s="1"/>
  <c r="AF93" i="5"/>
  <c r="B29" i="19"/>
  <c r="AC93" i="5"/>
  <c r="B24" i="19"/>
  <c r="X93" i="5"/>
  <c r="B22" i="19"/>
  <c r="V93" i="5"/>
  <c r="B11" i="19"/>
  <c r="I93" i="5"/>
  <c r="B15" i="19"/>
  <c r="AB93" i="5"/>
  <c r="C27" i="19" s="1"/>
  <c r="AA93" i="5"/>
  <c r="B26" i="21" s="1"/>
  <c r="B18" i="19"/>
  <c r="B9" i="21"/>
  <c r="C9" i="19"/>
  <c r="J94" i="5"/>
  <c r="C31" i="19"/>
  <c r="B31" i="21"/>
  <c r="AF94" i="5"/>
  <c r="B37" i="21"/>
  <c r="C37" i="19"/>
  <c r="AL94" i="5"/>
  <c r="B32" i="21"/>
  <c r="C32" i="19"/>
  <c r="AG94" i="5"/>
  <c r="B7" i="21"/>
  <c r="C7" i="19"/>
  <c r="H94" i="5"/>
  <c r="B38" i="21"/>
  <c r="C38" i="19"/>
  <c r="AM94" i="5"/>
  <c r="B13" i="21"/>
  <c r="C13" i="19"/>
  <c r="N94" i="5"/>
  <c r="B35" i="21"/>
  <c r="AJ94" i="5"/>
  <c r="C35" i="19"/>
  <c r="B10" i="21"/>
  <c r="C10" i="19"/>
  <c r="K94" i="5"/>
  <c r="B19" i="21"/>
  <c r="C19" i="19"/>
  <c r="T94" i="5"/>
  <c r="B28" i="21"/>
  <c r="C28" i="19"/>
  <c r="AC94" i="5"/>
  <c r="B18" i="21"/>
  <c r="C18" i="19"/>
  <c r="S94" i="5"/>
  <c r="C21" i="19"/>
  <c r="B21" i="21"/>
  <c r="V94" i="5"/>
  <c r="B12" i="21"/>
  <c r="C12" i="19"/>
  <c r="M94" i="5"/>
  <c r="C36" i="19"/>
  <c r="B36" i="21"/>
  <c r="AK94" i="5"/>
  <c r="B25" i="21"/>
  <c r="Z94" i="5"/>
  <c r="C25" i="19"/>
  <c r="C16" i="19"/>
  <c r="B16" i="21"/>
  <c r="Q94" i="5"/>
  <c r="B22" i="21"/>
  <c r="C22" i="19"/>
  <c r="W94" i="5"/>
  <c r="B14" i="21"/>
  <c r="C14" i="19"/>
  <c r="O94" i="5"/>
  <c r="B20" i="21"/>
  <c r="C20" i="19"/>
  <c r="U94" i="5"/>
  <c r="B17" i="21"/>
  <c r="C17" i="19"/>
  <c r="R94" i="5"/>
  <c r="B6" i="19"/>
  <c r="G93" i="5"/>
  <c r="AN92" i="5"/>
  <c r="B34" i="21"/>
  <c r="B15" i="21"/>
  <c r="P94" i="5"/>
  <c r="C15" i="19"/>
  <c r="B24" i="21"/>
  <c r="C24" i="19"/>
  <c r="Y94" i="5"/>
  <c r="B30" i="21"/>
  <c r="C30" i="19"/>
  <c r="AE94" i="5"/>
  <c r="B23" i="21"/>
  <c r="C23" i="19"/>
  <c r="X94" i="5"/>
  <c r="B8" i="21"/>
  <c r="C8" i="19"/>
  <c r="I94" i="5"/>
  <c r="B29" i="21"/>
  <c r="C29" i="19"/>
  <c r="AD94" i="5"/>
  <c r="C11" i="19"/>
  <c r="B11" i="21"/>
  <c r="L94" i="5"/>
  <c r="B33" i="21"/>
  <c r="C33" i="19"/>
  <c r="AH94" i="5"/>
  <c r="AA94" i="5"/>
  <c r="AI94" i="5" l="1"/>
  <c r="D34" i="19" s="1"/>
  <c r="AB94" i="5"/>
  <c r="B27" i="21"/>
  <c r="C26" i="19"/>
  <c r="C19" i="21"/>
  <c r="D19" i="19"/>
  <c r="C21" i="21"/>
  <c r="D21" i="19"/>
  <c r="C37" i="21"/>
  <c r="D37" i="19"/>
  <c r="C30" i="21"/>
  <c r="D30" i="19"/>
  <c r="C8" i="21"/>
  <c r="D8" i="19"/>
  <c r="C14" i="21"/>
  <c r="D14" i="19"/>
  <c r="C25" i="21"/>
  <c r="D25" i="19"/>
  <c r="C10" i="21"/>
  <c r="D10" i="19"/>
  <c r="C18" i="21"/>
  <c r="D18" i="19"/>
  <c r="C31" i="21"/>
  <c r="D31" i="19"/>
  <c r="C6" i="19"/>
  <c r="B6" i="21"/>
  <c r="AN93" i="5"/>
  <c r="G94" i="5"/>
  <c r="C36" i="21"/>
  <c r="D36" i="19"/>
  <c r="C7" i="21"/>
  <c r="D7" i="19"/>
  <c r="C20" i="21"/>
  <c r="D20" i="19"/>
  <c r="C38" i="21"/>
  <c r="D38" i="19"/>
  <c r="C24" i="21"/>
  <c r="D24" i="19"/>
  <c r="C23" i="21"/>
  <c r="D23" i="19"/>
  <c r="C11" i="21"/>
  <c r="D11" i="19"/>
  <c r="D17" i="19"/>
  <c r="C17" i="21"/>
  <c r="C28" i="21"/>
  <c r="D28" i="19"/>
  <c r="C35" i="21"/>
  <c r="D35" i="19"/>
  <c r="C9" i="21"/>
  <c r="D9" i="19"/>
  <c r="C29" i="21"/>
  <c r="D29" i="19"/>
  <c r="C26" i="21"/>
  <c r="D26" i="19"/>
  <c r="C33" i="21"/>
  <c r="D33" i="19"/>
  <c r="C12" i="21"/>
  <c r="D12" i="19"/>
  <c r="C32" i="21"/>
  <c r="D32" i="19"/>
  <c r="C22" i="21"/>
  <c r="D22" i="19"/>
  <c r="D27" i="19"/>
  <c r="C27" i="21"/>
  <c r="C15" i="21"/>
  <c r="D15" i="19"/>
  <c r="C16" i="21"/>
  <c r="D16" i="19"/>
  <c r="C13" i="21"/>
  <c r="D13" i="19"/>
  <c r="C34" i="21" l="1"/>
  <c r="C6" i="21"/>
  <c r="D6" i="19"/>
  <c r="E23" i="6" l="1"/>
  <c r="E24" i="6"/>
  <c r="B6" i="20" s="1"/>
  <c r="M23" i="6"/>
  <c r="M24" i="6"/>
  <c r="B14" i="20" s="1"/>
  <c r="H23" i="6"/>
  <c r="H24" i="6" s="1"/>
  <c r="B9" i="20" s="1"/>
  <c r="AE23" i="6"/>
  <c r="AE24" i="6" s="1"/>
  <c r="B32" i="20" s="1"/>
  <c r="AA23" i="6"/>
  <c r="AA24" i="6" s="1"/>
  <c r="B28" i="20" s="1"/>
  <c r="AI23" i="6"/>
  <c r="AI24" i="6" s="1"/>
  <c r="B36" i="20" s="1"/>
  <c r="U23" i="6"/>
  <c r="U24" i="6" s="1"/>
  <c r="B22" i="20" s="1"/>
  <c r="AF23" i="6"/>
  <c r="AF24" i="6"/>
  <c r="B33" i="20" s="1"/>
  <c r="I23" i="6"/>
  <c r="I24" i="6" s="1"/>
  <c r="B10" i="20" s="1"/>
  <c r="G23" i="6"/>
  <c r="G24" i="6" s="1"/>
  <c r="B8" i="20" s="1"/>
  <c r="V23" i="6"/>
  <c r="V24" i="6"/>
  <c r="B23" i="20" s="1"/>
  <c r="Y23" i="6"/>
  <c r="Y24" i="6" s="1"/>
  <c r="B26" i="20" s="1"/>
  <c r="L23" i="6"/>
  <c r="L24" i="6" s="1"/>
  <c r="B13" i="20" s="1"/>
  <c r="W23" i="6"/>
  <c r="W24" i="6"/>
  <c r="B24" i="20" s="1"/>
  <c r="P23" i="6"/>
  <c r="P24" i="6" s="1"/>
  <c r="B17" i="20" s="1"/>
  <c r="AC23" i="6"/>
  <c r="AC24" i="6" s="1"/>
  <c r="B30" i="20" s="1"/>
  <c r="AK23" i="6"/>
  <c r="AK24" i="6"/>
  <c r="B38" i="20" s="1"/>
  <c r="Z23" i="6"/>
  <c r="Z24" i="6" s="1"/>
  <c r="B27" i="20" s="1"/>
  <c r="AH23" i="6"/>
  <c r="AH24" i="6" s="1"/>
  <c r="B35" i="20" s="1"/>
  <c r="Q23" i="6"/>
  <c r="Q24" i="6"/>
  <c r="B18" i="20" s="1"/>
  <c r="AD23" i="6"/>
  <c r="AD24" i="6" s="1"/>
  <c r="B31" i="20" s="1"/>
  <c r="N23" i="6"/>
  <c r="N24" i="6" s="1"/>
  <c r="B15" i="20" s="1"/>
  <c r="S23" i="6"/>
  <c r="S24" i="6" s="1"/>
  <c r="B20" i="20" s="1"/>
  <c r="X23" i="6"/>
  <c r="X24" i="6"/>
  <c r="B25" i="20"/>
  <c r="AG23" i="6"/>
  <c r="AG24" i="6" s="1"/>
  <c r="B34" i="20" s="1"/>
  <c r="O23" i="6"/>
  <c r="O24" i="6" s="1"/>
  <c r="B16" i="20" s="1"/>
  <c r="R23" i="6"/>
  <c r="R24" i="6" s="1"/>
  <c r="B19" i="20" s="1"/>
  <c r="F23" i="6"/>
  <c r="F24" i="6"/>
  <c r="B7" i="20" s="1"/>
  <c r="T23" i="6"/>
  <c r="T24" i="6" s="1"/>
  <c r="B21" i="20" s="1"/>
  <c r="J23" i="6"/>
  <c r="J24" i="6"/>
  <c r="B11" i="20" s="1"/>
  <c r="AB23" i="6"/>
  <c r="AB24" i="6" s="1"/>
  <c r="B29" i="20" s="1"/>
  <c r="AJ23" i="6"/>
  <c r="AJ24" i="6" s="1"/>
  <c r="B37" i="20" s="1"/>
  <c r="K23" i="6"/>
  <c r="K24" i="6"/>
  <c r="B12" i="20" s="1"/>
  <c r="AL18" i="6"/>
  <c r="C11" i="9"/>
  <c r="C49" i="20" s="1"/>
  <c r="AL8" i="6"/>
  <c r="C7" i="9"/>
  <c r="C45" i="20" s="1"/>
  <c r="AL9" i="6"/>
  <c r="C12" i="9"/>
  <c r="C50" i="20" s="1"/>
  <c r="C24" i="9"/>
  <c r="C62" i="20" s="1"/>
  <c r="AL16" i="6"/>
  <c r="AL10" i="6"/>
  <c r="C66" i="20"/>
  <c r="C28" i="9"/>
  <c r="AL13" i="6"/>
  <c r="C30" i="9"/>
  <c r="C68" i="20" s="1"/>
  <c r="C53" i="20"/>
  <c r="C15" i="9"/>
  <c r="AL14" i="6"/>
  <c r="C57" i="20"/>
  <c r="C19" i="9"/>
  <c r="C31" i="9"/>
  <c r="C69" i="20" s="1"/>
  <c r="C20" i="9"/>
  <c r="C58" i="20" s="1"/>
  <c r="C16" i="9"/>
  <c r="C54" i="20" s="1"/>
  <c r="C8" i="9"/>
  <c r="C46" i="20" s="1"/>
  <c r="C73" i="20"/>
  <c r="C35" i="9"/>
  <c r="C6" i="9"/>
  <c r="C44" i="20" s="1"/>
  <c r="C22" i="9"/>
  <c r="C60" i="20" s="1"/>
  <c r="AL11" i="6"/>
  <c r="C17" i="9"/>
  <c r="C55" i="20" s="1"/>
  <c r="C25" i="9"/>
  <c r="C63" i="20" s="1"/>
  <c r="C71" i="20"/>
  <c r="C33" i="9"/>
  <c r="AL12" i="6"/>
  <c r="C10" i="9"/>
  <c r="C48" i="20" s="1"/>
  <c r="C26" i="9"/>
  <c r="C64" i="20" s="1"/>
  <c r="C34" i="9"/>
  <c r="C72" i="20" s="1"/>
  <c r="C47" i="20"/>
  <c r="C9" i="9"/>
  <c r="C52" i="20"/>
  <c r="C14" i="9"/>
  <c r="C18" i="9"/>
  <c r="C56" i="20" s="1"/>
  <c r="C23" i="9"/>
  <c r="C61" i="20" s="1"/>
  <c r="C27" i="9"/>
  <c r="C65" i="20" s="1"/>
  <c r="C32" i="9"/>
  <c r="C70" i="20" s="1"/>
  <c r="C36" i="9"/>
  <c r="C74" i="20" s="1"/>
  <c r="C4" i="9"/>
  <c r="C42" i="20" s="1"/>
  <c r="AL7" i="6"/>
  <c r="AL15" i="6"/>
  <c r="C43" i="20"/>
  <c r="C5" i="9"/>
  <c r="C51" i="20"/>
  <c r="C13" i="9"/>
  <c r="C21" i="9"/>
  <c r="C59" i="20" s="1"/>
  <c r="C29" i="9"/>
  <c r="C67" i="20" s="1"/>
  <c r="AL17" i="6"/>
  <c r="N32" i="7"/>
  <c r="N33" i="7" s="1"/>
  <c r="C15" i="20" s="1"/>
  <c r="E15" i="20" s="1"/>
  <c r="D15" i="21" s="1"/>
  <c r="E15" i="21" s="1"/>
  <c r="X32" i="7"/>
  <c r="X33" i="7" s="1"/>
  <c r="C25" i="20" s="1"/>
  <c r="E25" i="20" s="1"/>
  <c r="D25" i="21" s="1"/>
  <c r="E25" i="21" s="1"/>
  <c r="AK32" i="7"/>
  <c r="AK33" i="7" s="1"/>
  <c r="C38" i="20" s="1"/>
  <c r="E38" i="20" s="1"/>
  <c r="D38" i="21" s="1"/>
  <c r="E38" i="21" s="1"/>
  <c r="AH32" i="7"/>
  <c r="AH33" i="7"/>
  <c r="C35" i="20" s="1"/>
  <c r="E35" i="20" s="1"/>
  <c r="D35" i="21" s="1"/>
  <c r="E35" i="21" s="1"/>
  <c r="AA32" i="7"/>
  <c r="AA33" i="7" s="1"/>
  <c r="C28" i="20" s="1"/>
  <c r="E28" i="20" s="1"/>
  <c r="D28" i="21" s="1"/>
  <c r="E28" i="21" s="1"/>
  <c r="V32" i="7"/>
  <c r="V33" i="7" s="1"/>
  <c r="C23" i="20" s="1"/>
  <c r="E23" i="20" s="1"/>
  <c r="D23" i="21" s="1"/>
  <c r="E23" i="21" s="1"/>
  <c r="AD32" i="7"/>
  <c r="AD33" i="7"/>
  <c r="C31" i="20" s="1"/>
  <c r="E31" i="20" s="1"/>
  <c r="D31" i="21" s="1"/>
  <c r="E31" i="21" s="1"/>
  <c r="W32" i="7"/>
  <c r="W33" i="7" s="1"/>
  <c r="C24" i="20" s="1"/>
  <c r="E24" i="20" s="1"/>
  <c r="D24" i="21" s="1"/>
  <c r="E24" i="21" s="1"/>
  <c r="Q32" i="7"/>
  <c r="Q33" i="7" s="1"/>
  <c r="C18" i="20" s="1"/>
  <c r="E18" i="20" s="1"/>
  <c r="D18" i="21" s="1"/>
  <c r="E18" i="21" s="1"/>
  <c r="F32" i="7"/>
  <c r="F33" i="7" s="1"/>
  <c r="C7" i="20" s="1"/>
  <c r="E7" i="20" s="1"/>
  <c r="D7" i="21" s="1"/>
  <c r="E7" i="21" s="1"/>
  <c r="P32" i="7"/>
  <c r="P33" i="7"/>
  <c r="C17" i="20" s="1"/>
  <c r="E17" i="20" s="1"/>
  <c r="D17" i="21" s="1"/>
  <c r="E17" i="21" s="1"/>
  <c r="M32" i="7"/>
  <c r="M33" i="7" s="1"/>
  <c r="C14" i="20" s="1"/>
  <c r="E14" i="20" s="1"/>
  <c r="D14" i="21" s="1"/>
  <c r="E14" i="21" s="1"/>
  <c r="O32" i="7"/>
  <c r="O33" i="7" s="1"/>
  <c r="C16" i="20" s="1"/>
  <c r="E16" i="20" s="1"/>
  <c r="D16" i="21" s="1"/>
  <c r="E16" i="21" s="1"/>
  <c r="S32" i="7"/>
  <c r="S33" i="7" s="1"/>
  <c r="C20" i="20" s="1"/>
  <c r="E20" i="20" s="1"/>
  <c r="D20" i="21" s="1"/>
  <c r="E20" i="21" s="1"/>
  <c r="H32" i="7"/>
  <c r="H33" i="7" s="1"/>
  <c r="C9" i="20" s="1"/>
  <c r="E9" i="20" s="1"/>
  <c r="D9" i="21" s="1"/>
  <c r="E9" i="21" s="1"/>
  <c r="J32" i="7"/>
  <c r="J33" i="7" s="1"/>
  <c r="C11" i="20" s="1"/>
  <c r="E11" i="20" s="1"/>
  <c r="D11" i="21" s="1"/>
  <c r="E11" i="21" s="1"/>
  <c r="AF32" i="7"/>
  <c r="AF33" i="7"/>
  <c r="C33" i="20" s="1"/>
  <c r="E33" i="20" s="1"/>
  <c r="D33" i="21" s="1"/>
  <c r="E33" i="21" s="1"/>
  <c r="AJ32" i="7"/>
  <c r="AJ33" i="7" s="1"/>
  <c r="C37" i="20" s="1"/>
  <c r="E37" i="20" s="1"/>
  <c r="D37" i="21" s="1"/>
  <c r="E37" i="21" s="1"/>
  <c r="I32" i="7"/>
  <c r="I33" i="7" s="1"/>
  <c r="C10" i="20" s="1"/>
  <c r="E10" i="20" s="1"/>
  <c r="D10" i="21" s="1"/>
  <c r="E10" i="21" s="1"/>
  <c r="K32" i="7"/>
  <c r="K33" i="7"/>
  <c r="C12" i="20" s="1"/>
  <c r="E12" i="20" s="1"/>
  <c r="D12" i="21" s="1"/>
  <c r="E12" i="21" s="1"/>
  <c r="AB32" i="7"/>
  <c r="AB33" i="7" s="1"/>
  <c r="C29" i="20" s="1"/>
  <c r="E29" i="20" s="1"/>
  <c r="D29" i="21" s="1"/>
  <c r="E29" i="21" s="1"/>
  <c r="T32" i="7"/>
  <c r="T33" i="7" s="1"/>
  <c r="C21" i="20" s="1"/>
  <c r="E21" i="20" s="1"/>
  <c r="D21" i="21" s="1"/>
  <c r="E21" i="21" s="1"/>
  <c r="E32" i="7"/>
  <c r="E33" i="7" s="1"/>
  <c r="C6" i="20" s="1"/>
  <c r="E6" i="20" s="1"/>
  <c r="D6" i="21" s="1"/>
  <c r="Z32" i="7"/>
  <c r="Z33" i="7" s="1"/>
  <c r="C27" i="20" s="1"/>
  <c r="E27" i="20" s="1"/>
  <c r="D27" i="21" s="1"/>
  <c r="E27" i="21" s="1"/>
  <c r="Y32" i="7"/>
  <c r="Y33" i="7"/>
  <c r="C26" i="20" s="1"/>
  <c r="E26" i="20" s="1"/>
  <c r="D26" i="21" s="1"/>
  <c r="E26" i="21" s="1"/>
  <c r="L32" i="7"/>
  <c r="L33" i="7" s="1"/>
  <c r="C13" i="20" s="1"/>
  <c r="E13" i="20" s="1"/>
  <c r="D13" i="21" s="1"/>
  <c r="E13" i="21" s="1"/>
  <c r="G32" i="7"/>
  <c r="G33" i="7" s="1"/>
  <c r="C8" i="20" s="1"/>
  <c r="E8" i="20" s="1"/>
  <c r="D8" i="21" s="1"/>
  <c r="E8" i="21" s="1"/>
  <c r="R32" i="7"/>
  <c r="R33" i="7"/>
  <c r="C19" i="20" s="1"/>
  <c r="E19" i="20" s="1"/>
  <c r="D19" i="21" s="1"/>
  <c r="E19" i="21" s="1"/>
  <c r="AG32" i="7"/>
  <c r="AG33" i="7" s="1"/>
  <c r="C34" i="20" s="1"/>
  <c r="E34" i="20" s="1"/>
  <c r="D34" i="21" s="1"/>
  <c r="E34" i="21" s="1"/>
  <c r="AE32" i="7"/>
  <c r="AE33" i="7" s="1"/>
  <c r="C32" i="20" s="1"/>
  <c r="E32" i="20" s="1"/>
  <c r="D32" i="21" s="1"/>
  <c r="E32" i="21" s="1"/>
  <c r="U32" i="7"/>
  <c r="U33" i="7" s="1"/>
  <c r="C22" i="20" s="1"/>
  <c r="E22" i="20" s="1"/>
  <c r="D22" i="21" s="1"/>
  <c r="E22" i="21" s="1"/>
  <c r="AC32" i="7"/>
  <c r="AC33" i="7" s="1"/>
  <c r="C30" i="20" s="1"/>
  <c r="E30" i="20" s="1"/>
  <c r="D30" i="21" s="1"/>
  <c r="E30" i="21" s="1"/>
  <c r="AI32" i="7"/>
  <c r="AI33" i="7" s="1"/>
  <c r="C36" i="20" s="1"/>
  <c r="E36" i="20" s="1"/>
  <c r="D36" i="21" s="1"/>
  <c r="E36" i="21" s="1"/>
  <c r="AL18" i="7"/>
  <c r="F31" i="9"/>
  <c r="F69" i="20" s="1"/>
  <c r="AL23" i="7"/>
  <c r="F7" i="9"/>
  <c r="F45" i="20" s="1"/>
  <c r="AL24" i="7"/>
  <c r="F5" i="9"/>
  <c r="F43" i="20" s="1"/>
  <c r="F8" i="9"/>
  <c r="F46" i="20" s="1"/>
  <c r="F54" i="20"/>
  <c r="F16" i="9"/>
  <c r="F66" i="20"/>
  <c r="F28" i="9"/>
  <c r="F34" i="9"/>
  <c r="F72" i="20" s="1"/>
  <c r="AL21" i="7"/>
  <c r="F23" i="9"/>
  <c r="F61" i="20" s="1"/>
  <c r="AL26" i="7"/>
  <c r="F64" i="20"/>
  <c r="F26" i="9"/>
  <c r="F10" i="9"/>
  <c r="F48" i="20" s="1"/>
  <c r="F36" i="9"/>
  <c r="F74" i="20" s="1"/>
  <c r="AL20" i="7"/>
  <c r="F15" i="9"/>
  <c r="F53" i="20" s="1"/>
  <c r="F29" i="9"/>
  <c r="F67" i="20" s="1"/>
  <c r="AL17" i="7"/>
  <c r="AL25" i="7"/>
  <c r="F25" i="9"/>
  <c r="F63" i="20" s="1"/>
  <c r="F33" i="9"/>
  <c r="F71" i="20" s="1"/>
  <c r="F12" i="9"/>
  <c r="F50" i="20" s="1"/>
  <c r="F13" i="9"/>
  <c r="F51" i="20" s="1"/>
  <c r="F55" i="20"/>
  <c r="F17" i="9"/>
  <c r="F18" i="9"/>
  <c r="F56" i="20" s="1"/>
  <c r="AL19" i="7"/>
  <c r="F11" i="9"/>
  <c r="F49" i="20" s="1"/>
  <c r="F19" i="9"/>
  <c r="F57" i="20" s="1"/>
  <c r="F73" i="20"/>
  <c r="F35" i="9"/>
  <c r="F20" i="9"/>
  <c r="F58" i="20" s="1"/>
  <c r="F21" i="9"/>
  <c r="F59" i="20" s="1"/>
  <c r="F24" i="9"/>
  <c r="F62" i="20" s="1"/>
  <c r="AL22" i="7"/>
  <c r="F6" i="9"/>
  <c r="F44" i="20" s="1"/>
  <c r="F14" i="9"/>
  <c r="F52" i="20" s="1"/>
  <c r="F22" i="9"/>
  <c r="F60" i="20" s="1"/>
  <c r="F30" i="9"/>
  <c r="F68" i="20" s="1"/>
  <c r="F9" i="9"/>
  <c r="F47" i="20" s="1"/>
  <c r="F27" i="9"/>
  <c r="F65" i="20" s="1"/>
  <c r="F32" i="9"/>
  <c r="F70" i="20" s="1"/>
  <c r="AL16" i="7"/>
  <c r="F42" i="20"/>
  <c r="F4" i="9"/>
  <c r="G6" i="21" l="1"/>
  <c r="G36" i="21"/>
  <c r="F36" i="21"/>
  <c r="H36" i="21" s="1"/>
  <c r="G24" i="21"/>
  <c r="F24" i="21"/>
  <c r="H24" i="21" s="1"/>
  <c r="G8" i="21"/>
  <c r="F8" i="21"/>
  <c r="H8" i="21" s="1"/>
  <c r="G21" i="21"/>
  <c r="F21" i="21"/>
  <c r="H21" i="21" s="1"/>
  <c r="G31" i="21"/>
  <c r="F31" i="21"/>
  <c r="H31" i="21" s="1"/>
  <c r="G15" i="21"/>
  <c r="F15" i="21"/>
  <c r="H15" i="21" s="1"/>
  <c r="F6" i="21"/>
  <c r="G29" i="21"/>
  <c r="F29" i="21"/>
  <c r="H29" i="21" s="1"/>
  <c r="G17" i="21"/>
  <c r="F17" i="21"/>
  <c r="H17" i="21" s="1"/>
  <c r="G25" i="21"/>
  <c r="F25" i="21"/>
  <c r="H25" i="21" s="1"/>
  <c r="G22" i="21"/>
  <c r="F22" i="21"/>
  <c r="H22" i="21" s="1"/>
  <c r="G12" i="21"/>
  <c r="F12" i="21"/>
  <c r="H12" i="21" s="1"/>
  <c r="G11" i="21"/>
  <c r="F11" i="21"/>
  <c r="H11" i="21" s="1"/>
  <c r="G23" i="21"/>
  <c r="F23" i="21"/>
  <c r="H23" i="21" s="1"/>
  <c r="F33" i="21"/>
  <c r="H33" i="21" s="1"/>
  <c r="G33" i="21"/>
  <c r="G14" i="21"/>
  <c r="F14" i="21"/>
  <c r="H14" i="21" s="1"/>
  <c r="G32" i="21"/>
  <c r="F32" i="21"/>
  <c r="H32" i="21" s="1"/>
  <c r="G9" i="21"/>
  <c r="F9" i="21"/>
  <c r="H9" i="21" s="1"/>
  <c r="G28" i="21"/>
  <c r="F28" i="21"/>
  <c r="H28" i="21" s="1"/>
  <c r="G30" i="21"/>
  <c r="F30" i="21"/>
  <c r="H30" i="21" s="1"/>
  <c r="G13" i="21"/>
  <c r="F13" i="21"/>
  <c r="H13" i="21" s="1"/>
  <c r="G26" i="21"/>
  <c r="F26" i="21"/>
  <c r="H26" i="21" s="1"/>
  <c r="F10" i="21"/>
  <c r="H10" i="21" s="1"/>
  <c r="G10" i="21"/>
  <c r="G7" i="21"/>
  <c r="F7" i="21"/>
  <c r="H7" i="21" s="1"/>
  <c r="G35" i="21"/>
  <c r="F35" i="21"/>
  <c r="H35" i="21" s="1"/>
  <c r="G34" i="21"/>
  <c r="F34" i="21"/>
  <c r="H34" i="21" s="1"/>
  <c r="G37" i="21"/>
  <c r="F37" i="21"/>
  <c r="H37" i="21" s="1"/>
  <c r="G20" i="21"/>
  <c r="F20" i="21"/>
  <c r="H20" i="21" s="1"/>
  <c r="F18" i="21"/>
  <c r="H18" i="21" s="1"/>
  <c r="G18" i="21"/>
  <c r="F19" i="21"/>
  <c r="H19" i="21" s="1"/>
  <c r="G19" i="21"/>
  <c r="G27" i="21"/>
  <c r="F27" i="21"/>
  <c r="H27" i="21" s="1"/>
  <c r="G16" i="21"/>
  <c r="F16" i="21"/>
  <c r="H16" i="21" s="1"/>
  <c r="F38" i="21"/>
  <c r="H38" i="21" s="1"/>
  <c r="G38" i="21"/>
  <c r="B43" i="21" l="1"/>
  <c r="B41" i="21"/>
  <c r="H6" i="21"/>
  <c r="B45" i="21"/>
  <c r="B44" i="21"/>
  <c r="B42" i="21"/>
</calcChain>
</file>

<file path=xl/sharedStrings.xml><?xml version="1.0" encoding="utf-8"?>
<sst xmlns="http://schemas.openxmlformats.org/spreadsheetml/2006/main" count="1949" uniqueCount="909">
  <si>
    <t>Sheet</t>
  </si>
  <si>
    <t>Purpose</t>
  </si>
  <si>
    <t>Glossary</t>
  </si>
  <si>
    <t>How to fill every sheet — start here.</t>
  </si>
  <si>
    <t>Districts_Setup</t>
  </si>
  <si>
    <t>All 33 Gujarat districts, pre-filled. Edit once, everything updates.</t>
  </si>
  <si>
    <t>State_PGI_2.0</t>
  </si>
  <si>
    <t>Gujarat state-level PGI 2.0, 101 indicators across 6 domains (out of 1000).</t>
  </si>
  <si>
    <t>District_PGI-D_600</t>
  </si>
  <si>
    <t>District-wise PGI-D 2.0, 70 indicators across 6 categories (out of 600), all 33 districts.</t>
  </si>
  <si>
    <t>PARAKH_Foundational_G3</t>
  </si>
  <si>
    <t>PARAKH Grade 3 competency mastery, all 33 districts.</t>
  </si>
  <si>
    <t>PARAKH_Preparatory_G6</t>
  </si>
  <si>
    <t>PARAKH Grade 6 competency mastery, all 33 districts.</t>
  </si>
  <si>
    <t>PARAKH_Middle_G9</t>
  </si>
  <si>
    <t>PARAKH Grade 9 competency mastery, all 33 districts.</t>
  </si>
  <si>
    <t>PARAKH_Subject_Performance</t>
  </si>
  <si>
    <t>Auto-computed average mastery per Grade-Subject, all districts.</t>
  </si>
  <si>
    <t>PARAKH_By_Gender</t>
  </si>
  <si>
    <t>Average performance split by Boys/Girls, all districts.</t>
  </si>
  <si>
    <t>PARAKH_By_Location</t>
  </si>
  <si>
    <t>Average performance split by Rural/Urban, all districts.</t>
  </si>
  <si>
    <t>PARAKH_By_Management</t>
  </si>
  <si>
    <t>Average performance split by school management type, all districts.</t>
  </si>
  <si>
    <t>PARAKH_By_SocialGroup</t>
  </si>
  <si>
    <t>Average performance split by SC/ST/OBC/General, all districts.</t>
  </si>
  <si>
    <t>PARAKH_Contextual_School</t>
  </si>
  <si>
    <t>School Questionnaire — 9 broader domains x 33 districts, each with High/Low-Performing columns.</t>
  </si>
  <si>
    <t>PARAKH_Contextual_Teacher</t>
  </si>
  <si>
    <t>Teacher Questionnaire — 7 broader domains x 33 districts, each with High/Low-Performing columns.</t>
  </si>
  <si>
    <t>PARAKH_Contextual_Pupil_G3</t>
  </si>
  <si>
    <t>Pupil (Grade 3) Questionnaire — 9 broader domains x 33 districts, each with High/Low-Performing columns.</t>
  </si>
  <si>
    <t>PARAKH_Contextual_Pupil_G6</t>
  </si>
  <si>
    <t>Pupil (Grade 6) Questionnaire — 9 broader domains x 33 districts, each with High/Low-Performing columns.</t>
  </si>
  <si>
    <t>PARAKH_Contextual_Pupil_G9</t>
  </si>
  <si>
    <t>Pupil (Grade 9) Questionnaire — 9 broader domains x 33 districts, each with High/Low-Performing columns.</t>
  </si>
  <si>
    <t>Dashboard_PGI</t>
  </si>
  <si>
    <t>Auto-generated PGI-D ranking, category heat-map, learning-outcome comparison.</t>
  </si>
  <si>
    <t>Dashboard_PARAKH</t>
  </si>
  <si>
    <t>Comprehensive PARAKH dashboard: mastery ranking, subject heat-map, Gender/Location/Management/Social-Group gaps, contextual variables summary.</t>
  </si>
  <si>
    <t>Combined_Performance_Ranking</t>
  </si>
  <si>
    <t>Merges PARAKH + PGI-D into one Composite Score, flags High/Low performing districts.</t>
  </si>
  <si>
    <t>Colour Key</t>
  </si>
  <si>
    <t>Blue text</t>
  </si>
  <si>
    <t>Editable input cell — type your data here</t>
  </si>
  <si>
    <t>Black text</t>
  </si>
  <si>
    <t>Formula — calculates automatically, do not overtype</t>
  </si>
  <si>
    <t>Light blue fill</t>
  </si>
  <si>
    <t>Domain subtotal</t>
  </si>
  <si>
    <t>Orange fill</t>
  </si>
  <si>
    <t>Category subtotal</t>
  </si>
  <si>
    <t>Yellow fill</t>
  </si>
  <si>
    <t>Grand total / overall score</t>
  </si>
  <si>
    <t>1. Core Frameworks &amp; Sources</t>
  </si>
  <si>
    <t>PARAKH</t>
  </si>
  <si>
    <t>Performance Assessment, Review and Analysis of Knowledge for Holistic Development — NCERT's national assessment body; runs the PARAKH Rashtriya Sarvekshan (RS), testing Grades 3, 6 &amp; 9.</t>
  </si>
  <si>
    <t>Stages</t>
  </si>
  <si>
    <t>Foundational = Grade 3, Preparatory = Grade 6, Middle = Grade 9 (NEP 2020 / NCF stage terminology used by PARAKH).</t>
  </si>
  <si>
    <t>PGI 2.0 (State)</t>
  </si>
  <si>
    <t>Performance Grading Index 2.0 — grades Gujarat out of 1000 points across 6 domains.</t>
  </si>
  <si>
    <t>PGI-D 2.0 (District)</t>
  </si>
  <si>
    <t>District-level equivalent — grades each district out of 600 points across 6 categories.</t>
  </si>
  <si>
    <t>UDISE+ / PRABANDH / PM-POSHAN</t>
  </si>
  <si>
    <t>Government data systems feeding most PGI/PGI-D indicators (infrastructure, enrolment, funds, nutrition).</t>
  </si>
  <si>
    <t>PARAKH Dashboard</t>
  </si>
  <si>
    <t>dashboard.parakh.ncert.gov.in — source for all PARAKH competency, breakdown and contextual-variable figures used in this workbook.</t>
  </si>
  <si>
    <t>2. Districts_Setup</t>
  </si>
  <si>
    <t>Holds the master list of all 33 Gujarat districts. Pre-filled — only edit if your data source uses different boundaries (e.g. if Vav-Tharad is split out as a 34th district in your report).</t>
  </si>
  <si>
    <t>3. State_PGI_2.0 (1000 points)</t>
  </si>
  <si>
    <t>What to enter</t>
  </si>
  <si>
    <t>In the blue cells (columns F, G, H), enter Gujarat's SCORE for each indicator — already on the 0-to-Weight point scale shown in column E, as per the official PGI scorecard.</t>
  </si>
  <si>
    <t>Domain totals/Grade</t>
  </si>
  <si>
    <t>Calculate automatically below the data — do not type into bold/coloured rows.</t>
  </si>
  <si>
    <t>Equity domain caution</t>
  </si>
  <si>
    <t>Domain 4 indicators measure GAPS between groups. A smaller gap earns a HIGHER score — read the note in column K for each row.</t>
  </si>
  <si>
    <t>4. District_PGI-D_600 (600 points x 33 districts)</t>
  </si>
  <si>
    <t>Same logic as State_PGI_2.0, but one column per district (G through AM). Enter each district's awarded score (0 to the indicator's Weight).</t>
  </si>
  <si>
    <t>Category/Domain/Grand totals</t>
  </si>
  <si>
    <t>Calculate automatically in the summary block below the data, and again at the very bottom (Overall Score, % Achieved, Grade) — per district.</t>
  </si>
  <si>
    <t>5. PARAKH_Foundational_G3 / Preparatory_G6 / Middle_G9</t>
  </si>
  <si>
    <t>For each competency (row) and district (column), enter the PROPORTION of tested students who mastered it, as a decimal 0–1 (e.g. 0.62 for 62%) — from the PARAKH RS district report or dashboard.</t>
  </si>
  <si>
    <t>National column</t>
  </si>
  <si>
    <t>Pre-filled with the National benchmark value from the PARAKH RS 2024 report; District Avg and subject-wise summaries calculate automatically.</t>
  </si>
  <si>
    <t>Stage grouping</t>
  </si>
  <si>
    <t>Foundational=Grade 3, Preparatory=Grade 6, Middle=Grade 9 — matches the PARAKH dashboard's own stage tabs.</t>
  </si>
  <si>
    <t>6. PARAKH_Subject_Performance</t>
  </si>
  <si>
    <t>NOTHING — this sheet is 100% auto-calculated from the 3 stage sheets above. It shows each district's average mastery per Grade-Subject combination.</t>
  </si>
  <si>
    <t>7. PARAKH_By_Gender / By_Location / By_Management / By_SocialGroup</t>
  </si>
  <si>
    <t>For each district (row) and each Grade-Subject (column group), enter the average % score for EACH category shown (e.g. Boys % and Girls % side by side), as a decimal 0–1.</t>
  </si>
  <si>
    <t>Where to find this</t>
  </si>
  <si>
    <t>PARAKH dashboard → select the relevant filter (Gender / Location / Management / Social Category) for Gujarat → read off each district's average score per grade-subject.</t>
  </si>
  <si>
    <t>Management categories</t>
  </si>
  <si>
    <t>State Govt, Govt Aided, Central Govt, Private Recognised — matches PARAKH's school-management classification.</t>
  </si>
  <si>
    <t>Social Group categories</t>
  </si>
  <si>
    <t>SC, ST, OBC, General/Others — matches PARAKH's social-category classification.</t>
  </si>
  <si>
    <t>8. PARAKH_Contextual_School / Contextual_Teacher / Contextual_Pupil_G3/G6/G9</t>
  </si>
  <si>
    <t>One row per Broader Domain. For EACH district, there are two columns: High-Performing (%) and Low-Performing (%) — enter the proportion (0–1) of that district's High-Performing and Low-Performing schools reporting an issue/practice in this domain.</t>
  </si>
  <si>
    <t>Gujarat Avg columns</t>
  </si>
  <si>
    <t>Auto-calculated — average High-Performing % and average Low-Performing % across all 33 districts, for each domain.</t>
  </si>
  <si>
    <t>Optional — enter the National-level benchmark figure for that domain if available from the dashboard.</t>
  </si>
  <si>
    <t>Red highlight</t>
  </si>
  <si>
    <t>A district's Low-Performing value is highlighted red if it exceeds its own High-Performing value for that domain — flags domains where the high/low gap is in the expected (or unexpected) direction.</t>
  </si>
  <si>
    <t>PARAKH dashboard → Contextual Variables tab (dashboard.parakh.ncert.gov.in). Aggregate the dashboard's individual variables into one score per Broader Domain, for both High- and Low-performing schools, per district.</t>
  </si>
  <si>
    <t>Broader Domains</t>
  </si>
  <si>
    <t>School: leadership &amp; policy, training &amp; PD, teaching &amp; assessment, learning resources, parental/community engagement, school monitoring, student development &amp; support, infrastructure/facilities, school environment. Teacher: professional info &amp; experience, PD &amp; collaboration, pedagogy &amp; assessment, school environment &amp; resources, social-emotional competence, job satisfaction, community support. Pupil: family background, digital device access, learning preferences, home learning environment, school environment, school accessibility/facilities, teaching-learning methods, mental health &amp; well-being, CWSN accessibility.</t>
  </si>
  <si>
    <t>9. Dashboard_PARAKH and Dashboard_PGI</t>
  </si>
  <si>
    <t>NOTHING — both dashboards are 100% auto-calculated and update live from the data-entry sheets above.</t>
  </si>
  <si>
    <t>Dashboard_PARAKH contents</t>
  </si>
  <si>
    <t>1) Overall PARAKH mastery by district (Foundational/Preparatory/Middle + combined). 2) Subject-wise mastery heat-map. 3) Boys vs Girls performance &amp; gap. 4) Rural vs Urban performance &amp; gap. 5) Performance by school management type. 6) Performance by Social Group (SC/ST/OBC/General) with equity gaps. 7) Contextual Variables summary — High- vs Low-Performing schools, by questionnaire (School/Teacher/Pupil G3/G6/G9). Plus 4 charts visualising the above.</t>
  </si>
  <si>
    <t>10. Combined_Performance_Ranking</t>
  </si>
  <si>
    <t>Only the two weight cells (B3, D3) if you want to change the default 50/50 weighting between PGI-D and PARAKH.</t>
  </si>
  <si>
    <t>How it works</t>
  </si>
  <si>
    <t>Composite Score = Weight(PGI-D) x PGI-D %Achieved + Weight(PARAKH) x PARAKH Overall Mastery %. Each district is then classified into a Performance Band (Low Performing → High Performing) and ranked.</t>
  </si>
  <si>
    <t>11. Grading Scale (PGI/PGI-D)</t>
  </si>
  <si>
    <t>Akanshi-3 (0 - 10.9%)</t>
  </si>
  <si>
    <t>Lowest grade — needs urgent, system-level intervention</t>
  </si>
  <si>
    <t>Akanshi-2 (11 - 20.9%)</t>
  </si>
  <si>
    <t>Very low performance</t>
  </si>
  <si>
    <t>Akanshi-1 (21 - 30.9%)</t>
  </si>
  <si>
    <t>Low performance, aspiring to improve</t>
  </si>
  <si>
    <t>Prachesta-3 (31 - 40.9%)</t>
  </si>
  <si>
    <t>Early-stage effort visible</t>
  </si>
  <si>
    <t>Prachesta-2 (41 - 50.9%)</t>
  </si>
  <si>
    <t>Moderate effort, below average</t>
  </si>
  <si>
    <t>Prachesta-1 (51 - 60.9%)</t>
  </si>
  <si>
    <t>Approaching average performance</t>
  </si>
  <si>
    <t>Uttam (61 - 70.9%)</t>
  </si>
  <si>
    <t>Good / above-average performance</t>
  </si>
  <si>
    <t>Atti-Uttam (71 - 80.9%)</t>
  </si>
  <si>
    <t>Very good performance</t>
  </si>
  <si>
    <t>Utkarsh (81 - 90.9%)</t>
  </si>
  <si>
    <t>Excellent performance</t>
  </si>
  <si>
    <t>Daksh (91 - 100%)</t>
  </si>
  <si>
    <t>Highest grade — exemplary performance</t>
  </si>
  <si>
    <t>12. Abbreviations</t>
  </si>
  <si>
    <t>CWSN</t>
  </si>
  <si>
    <t>Children With Special Needs</t>
  </si>
  <si>
    <t>CCE</t>
  </si>
  <si>
    <t>Continuous and Comprehensive Evaluation</t>
  </si>
  <si>
    <t>TLM</t>
  </si>
  <si>
    <t>Teaching Learning Material</t>
  </si>
  <si>
    <t>PTR</t>
  </si>
  <si>
    <t>Pupil Teacher Ratio</t>
  </si>
  <si>
    <t>NER</t>
  </si>
  <si>
    <t>Net Enrolment Ratio</t>
  </si>
  <si>
    <t>SMC</t>
  </si>
  <si>
    <t>School Management Committee</t>
  </si>
  <si>
    <t>SDMP</t>
  </si>
  <si>
    <t>School Disaster Management Plan</t>
  </si>
  <si>
    <t>SSSA</t>
  </si>
  <si>
    <t>State School Standards Authority</t>
  </si>
  <si>
    <t>OoSC</t>
  </si>
  <si>
    <t>Out-of-School Children</t>
  </si>
  <si>
    <t>NSQF</t>
  </si>
  <si>
    <t>National Skills Qualifications Framework</t>
  </si>
  <si>
    <t>TWAU</t>
  </si>
  <si>
    <t>The World Around Us (Grade 6 PARAKH subject)</t>
  </si>
  <si>
    <t>AWP</t>
  </si>
  <si>
    <t>Annual Work Plan (Samagra Shiksha)</t>
  </si>
  <si>
    <t>SC / ST / OBC</t>
  </si>
  <si>
    <t>Scheduled Caste / Scheduled Tribe / Other Backward Class</t>
  </si>
  <si>
    <t>HPC</t>
  </si>
  <si>
    <t>Holistic Progress Card (NEP 2020 assessment tool referenced in PARAKH contextual interventions)</t>
  </si>
  <si>
    <t>13. Recommended Fill-In Order</t>
  </si>
  <si>
    <t>Step 1</t>
  </si>
  <si>
    <t>Step 2</t>
  </si>
  <si>
    <t>Step 3</t>
  </si>
  <si>
    <t>Step 4</t>
  </si>
  <si>
    <t>Step 5</t>
  </si>
  <si>
    <t>Step 6</t>
  </si>
  <si>
    <t>Step 7</t>
  </si>
  <si>
    <t>Pre-filled with Gujarat's 33 districts (as per UDISE+/PARAKH administrative list). Edit names here ONLY if your dataset uses different district boundaries — every other sheet updates automatically.</t>
  </si>
  <si>
    <t>District Name</t>
  </si>
  <si>
    <t>Notes (optional)</t>
  </si>
  <si>
    <t>Ahmedabad</t>
  </si>
  <si>
    <t>Amreli</t>
  </si>
  <si>
    <t>Anand</t>
  </si>
  <si>
    <t>Aravalli</t>
  </si>
  <si>
    <t>Banaskantha</t>
  </si>
  <si>
    <t>Bharuch</t>
  </si>
  <si>
    <t>Bhavnagar</t>
  </si>
  <si>
    <t>Botad</t>
  </si>
  <si>
    <t>Chhota Udepur</t>
  </si>
  <si>
    <t>Dahod</t>
  </si>
  <si>
    <t>Dang</t>
  </si>
  <si>
    <t>Devbhoomi Dwarka</t>
  </si>
  <si>
    <t>Gandhinagar</t>
  </si>
  <si>
    <t>Gir Somnath</t>
  </si>
  <si>
    <t>Jamnagar</t>
  </si>
  <si>
    <t>Junagadh</t>
  </si>
  <si>
    <t>Kutch</t>
  </si>
  <si>
    <t>Kheda</t>
  </si>
  <si>
    <t>Mahisagar</t>
  </si>
  <si>
    <t>Mehsana</t>
  </si>
  <si>
    <t>Morbi</t>
  </si>
  <si>
    <t>Narmada</t>
  </si>
  <si>
    <t>Navsari</t>
  </si>
  <si>
    <t>Panchmahal</t>
  </si>
  <si>
    <t>Patan</t>
  </si>
  <si>
    <t>Porbandar</t>
  </si>
  <si>
    <t>Rajkot</t>
  </si>
  <si>
    <t>Sabarkantha</t>
  </si>
  <si>
    <t>Surat</t>
  </si>
  <si>
    <t>Surendranagar</t>
  </si>
  <si>
    <t>Tapi</t>
  </si>
  <si>
    <t>Vadodara</t>
  </si>
  <si>
    <t>Valsad</t>
  </si>
  <si>
    <t>Enter raw indicator scores. Domain totals, % Achieved and Grade calculate automatically. See column K for entry guidance.</t>
  </si>
  <si>
    <t>Domain</t>
  </si>
  <si>
    <t>Indicator</t>
  </si>
  <si>
    <t>Data Source</t>
  </si>
  <si>
    <t>Weight</t>
  </si>
  <si>
    <t>2022-23</t>
  </si>
  <si>
    <t>2023-24</t>
  </si>
  <si>
    <t>2024-25</t>
  </si>
  <si>
    <t>% Achieved (2024-25)</t>
  </si>
  <si>
    <t>Grade (2024-25)</t>
  </si>
  <si>
    <t>How to Enter This Score</t>
  </si>
  <si>
    <t>Domain 1: Learning Outcomes and Quality (LO) - 240</t>
  </si>
  <si>
    <t>1.1</t>
  </si>
  <si>
    <t>Learning Outcome in Language in Class 3 - All Schools</t>
  </si>
  <si>
    <t>Enter Gujarat's PARAKH-based score (0–30); higher = more students at/above grade-level proficiency. Source: PARAKH RS scorecard.</t>
  </si>
  <si>
    <t>1.2</t>
  </si>
  <si>
    <t>Learning Outcome in Mathematics in Class 3 - All Schools</t>
  </si>
  <si>
    <t>1.3</t>
  </si>
  <si>
    <t>Learning Outcome in Language in Class 6 - All Schools</t>
  </si>
  <si>
    <t>1.4</t>
  </si>
  <si>
    <t>Learning Outcome in Mathematics in Class 6 - All Schools</t>
  </si>
  <si>
    <t>1.5</t>
  </si>
  <si>
    <t>Learning Outcome in TWAU (The World Around Us) in Class 6 - All Schools</t>
  </si>
  <si>
    <t>1.6</t>
  </si>
  <si>
    <t>Learning Outcome in Language in Class 9 - All Schools</t>
  </si>
  <si>
    <t>1.7</t>
  </si>
  <si>
    <t>Learning Outcome in Mathematics in Class 9 - All Schools</t>
  </si>
  <si>
    <t>1.8</t>
  </si>
  <si>
    <t>Learning Outcome in Science in Class 9 - All Schools</t>
  </si>
  <si>
    <t>1.9</t>
  </si>
  <si>
    <t>Learning Outcome in Social Science in Class 9 - All Schools</t>
  </si>
  <si>
    <t>Domain 2: Access (A) - 80</t>
  </si>
  <si>
    <t>2.1</t>
  </si>
  <si>
    <t>Adjusted NER at Secondary level (All Schools)</t>
  </si>
  <si>
    <t>UDISE+</t>
  </si>
  <si>
    <t>2.2</t>
  </si>
  <si>
    <t>NER at Higher Secondary level (11-12) (All Schools)</t>
  </si>
  <si>
    <t>2.3</t>
  </si>
  <si>
    <t>Retention rate at Primary level (All Schools)</t>
  </si>
  <si>
    <t>2.4</t>
  </si>
  <si>
    <t>Retention rate at Upper Primary level (All Schools)</t>
  </si>
  <si>
    <t>2.5</t>
  </si>
  <si>
    <t>Retention rate at Secondary level (All Schools)</t>
  </si>
  <si>
    <t>2.6a</t>
  </si>
  <si>
    <t>Completion Rate - Secondary (All Schools)</t>
  </si>
  <si>
    <t>2.6b</t>
  </si>
  <si>
    <t>Completion Rate - Higher Secondary (All Schools)</t>
  </si>
  <si>
    <t>2.7</t>
  </si>
  <si>
    <t>Participation Rate in organised learning (1 yr before primary entry age)</t>
  </si>
  <si>
    <t>Domain 3: Infrastructure &amp; Facilities (I&amp;F) - 190</t>
  </si>
  <si>
    <t>3.1a</t>
  </si>
  <si>
    <t>% schools having ICT lab (Govt &amp; Aided, UP &amp; above)</t>
  </si>
  <si>
    <t>3.1b</t>
  </si>
  <si>
    <t>% schools having Smart Classes - All Schools</t>
  </si>
  <si>
    <t>3.2a</t>
  </si>
  <si>
    <t>% schools having integrated Science lab facility up to Secondary</t>
  </si>
  <si>
    <t>3.2b</t>
  </si>
  <si>
    <t>% schools having separate Science lab - Higher Secondary</t>
  </si>
  <si>
    <t>3.2c</t>
  </si>
  <si>
    <t>% schools having separate Co-Curricular/Arts &amp; Crafts rooms</t>
  </si>
  <si>
    <t>3.3a</t>
  </si>
  <si>
    <t>% schools having Library/Book Bank/Reading Corner</t>
  </si>
  <si>
    <t>3.3b</t>
  </si>
  <si>
    <t>% schools having separate room for library</t>
  </si>
  <si>
    <t>3.4a</t>
  </si>
  <si>
    <t>% schools offering pre-vocational exposure at Upper Primary</t>
  </si>
  <si>
    <t>3.4b</t>
  </si>
  <si>
    <t>% schools offering vocational course under NSQF (Sec &amp; HSec, Govt/Aided)</t>
  </si>
  <si>
    <t>3.5a</t>
  </si>
  <si>
    <t>% students placed after vocational education - Class 10</t>
  </si>
  <si>
    <t>3.5b</t>
  </si>
  <si>
    <t>% students placed after vocational education - Class 12</t>
  </si>
  <si>
    <t>3.5c</t>
  </si>
  <si>
    <t>% students self-employed after vocational education - Class 10</t>
  </si>
  <si>
    <t>3.5d</t>
  </si>
  <si>
    <t>% students self-employed after vocational education - Class 12</t>
  </si>
  <si>
    <t>3.6</t>
  </si>
  <si>
    <t>% days midday meal served (elementary, Govt &amp; Aided)</t>
  </si>
  <si>
    <t>PM-POSHAN</t>
  </si>
  <si>
    <t>3.7</t>
  </si>
  <si>
    <t>% Districts carried out social audit of PM-POSHAN scheme</t>
  </si>
  <si>
    <t>3.8</t>
  </si>
  <si>
    <t>% schools carried out health check-up of all students (last academic year)</t>
  </si>
  <si>
    <t>3.9a</t>
  </si>
  <si>
    <t>% Co-ed/girls schools having Sanitary Pad vending machine (Sec/HSec)</t>
  </si>
  <si>
    <t>3.9b</t>
  </si>
  <si>
    <t>% Co-ed/girls schools having functional incinerator in girls' toilets</t>
  </si>
  <si>
    <t>3.10</t>
  </si>
  <si>
    <t>% Elementary students getting Free Textbook within 1 month (Govt/Aided)</t>
  </si>
  <si>
    <t>3.11</t>
  </si>
  <si>
    <t>% schools where Balavatika started in co-located Anganwadi/school</t>
  </si>
  <si>
    <t>3.12</t>
  </si>
  <si>
    <t>% schools having Kitchen Garden - All Schools</t>
  </si>
  <si>
    <t>3.13</t>
  </si>
  <si>
    <t>% schools having functional Rainwater Harvesting facility</t>
  </si>
  <si>
    <t>3.14</t>
  </si>
  <si>
    <t>% schools having functional drinking water facility</t>
  </si>
  <si>
    <t>3.15</t>
  </si>
  <si>
    <t>% schools having functional solar panel</t>
  </si>
  <si>
    <t>Domain 4: Equity (E) - 260</t>
  </si>
  <si>
    <t>4.1a</t>
  </si>
  <si>
    <t>Diff. in Language performance: SC vs General - Class 3</t>
  </si>
  <si>
    <t>4.1b</t>
  </si>
  <si>
    <t>Diff. in Language performance: SC vs General - Class 6</t>
  </si>
  <si>
    <t>4.1c</t>
  </si>
  <si>
    <t>Diff. in Language performance: SC vs General - Class 9</t>
  </si>
  <si>
    <t>4.2a</t>
  </si>
  <si>
    <t>Diff. in Mathematics performance: SC vs General - Class 3</t>
  </si>
  <si>
    <t>4.2b</t>
  </si>
  <si>
    <t>Diff. in Mathematics performance: SC vs General - Class 6</t>
  </si>
  <si>
    <t>4.2c</t>
  </si>
  <si>
    <t>Diff. in Mathematics performance: SC vs General - Class 9</t>
  </si>
  <si>
    <t>4.3a</t>
  </si>
  <si>
    <t>Diff. in Language performance: ST vs General - Class 3</t>
  </si>
  <si>
    <t>4.3b</t>
  </si>
  <si>
    <t>Diff. in Language performance: ST vs General - Class 6</t>
  </si>
  <si>
    <t>4.3c</t>
  </si>
  <si>
    <t>Diff. in Language performance: ST vs General - Class 9</t>
  </si>
  <si>
    <t>4.4a</t>
  </si>
  <si>
    <t>Diff. in Mathematics performance: ST vs General - Class 3</t>
  </si>
  <si>
    <t>4.4b</t>
  </si>
  <si>
    <t>Diff. in Mathematics performance: ST vs General - Class 6</t>
  </si>
  <si>
    <t>4.4c</t>
  </si>
  <si>
    <t>Diff. in Mathematics performance: ST vs General - Class 9</t>
  </si>
  <si>
    <t>4.5a</t>
  </si>
  <si>
    <t>Diff. in Language performance: Urban vs Rural - Class 3</t>
  </si>
  <si>
    <t>4.5b</t>
  </si>
  <si>
    <t>Diff. in Language performance: Urban vs Rural - Class 6</t>
  </si>
  <si>
    <t>4.5c</t>
  </si>
  <si>
    <t>Diff. in Language performance: Urban vs Rural - Class 9</t>
  </si>
  <si>
    <t>4.6a</t>
  </si>
  <si>
    <t>Diff. in Mathematics performance: Urban vs Rural - Class 3</t>
  </si>
  <si>
    <t>4.6b</t>
  </si>
  <si>
    <t>Diff. in Mathematics performance: Urban vs Rural - Class 6</t>
  </si>
  <si>
    <t>4.6c</t>
  </si>
  <si>
    <t>Diff. in Mathematics performance: Urban vs Rural - Class 9</t>
  </si>
  <si>
    <t>4.7a</t>
  </si>
  <si>
    <t>Diff. in Language performance: Boys vs Girls - Class 3</t>
  </si>
  <si>
    <t>4.7b</t>
  </si>
  <si>
    <t>Diff. in Language performance: Boys vs Girls - Class 6</t>
  </si>
  <si>
    <t>4.7c</t>
  </si>
  <si>
    <t>Diff. in Language performance: Boys vs Girls - Class 9</t>
  </si>
  <si>
    <t>4.8a</t>
  </si>
  <si>
    <t>Diff. in Mathematics performance: Boys vs Girls - Class 3</t>
  </si>
  <si>
    <t>4.8b</t>
  </si>
  <si>
    <t>Diff. in Mathematics performance: Boys vs Girls - Class 6</t>
  </si>
  <si>
    <t>4.8c</t>
  </si>
  <si>
    <t>Diff. in Mathematics performance: Boys vs Girls - Class 9</t>
  </si>
  <si>
    <t>4.9a</t>
  </si>
  <si>
    <t>Diff. SC vs General - Exam Result - Class 10</t>
  </si>
  <si>
    <t>4.9b</t>
  </si>
  <si>
    <t>Diff. ST vs General - Exam Result - Class 10</t>
  </si>
  <si>
    <t>4.9c</t>
  </si>
  <si>
    <t>Diff. SC vs General - Exam Result - Class 12</t>
  </si>
  <si>
    <t>4.9d</t>
  </si>
  <si>
    <t>Diff. ST vs General - Exam Result - Class 12</t>
  </si>
  <si>
    <t>4.10</t>
  </si>
  <si>
    <t>Diff. Boys vs Girls - Transition Rate UP to Secondary</t>
  </si>
  <si>
    <t>4.11</t>
  </si>
  <si>
    <t>Diff. Minorities vs General - Transition Rate UP to Secondary</t>
  </si>
  <si>
    <t>4.12</t>
  </si>
  <si>
    <t>% schools having assistive tech-based solutions for CWSN</t>
  </si>
  <si>
    <t>4.13</t>
  </si>
  <si>
    <t>% entitled CWSN receiving Aids &amp; Appliances (Govt &amp; Aided)</t>
  </si>
  <si>
    <t>4.14</t>
  </si>
  <si>
    <t>% schools having ramp for CWSN to access school building</t>
  </si>
  <si>
    <t>4.15</t>
  </si>
  <si>
    <t>% schools having functional CWSN-friendly toilets</t>
  </si>
  <si>
    <t>4.16a</t>
  </si>
  <si>
    <t>% Co-Ed/Boys schools having functional Boy's toilet</t>
  </si>
  <si>
    <t>4.16b</t>
  </si>
  <si>
    <t>% Co-Ed/Girls schools having functional Girl's toilet</t>
  </si>
  <si>
    <t>Domain 5: Governance Processes (GP) - 130</t>
  </si>
  <si>
    <t>5.1</t>
  </si>
  <si>
    <t>% Students with Aadhar seeded information</t>
  </si>
  <si>
    <t>5.2</t>
  </si>
  <si>
    <t>% schools capturing students' attendance digitally (Govt/Aided)</t>
  </si>
  <si>
    <t>5.3</t>
  </si>
  <si>
    <t>% schools capturing teachers' attendance digitally (Govt/Aided)</t>
  </si>
  <si>
    <t>5.4</t>
  </si>
  <si>
    <t>% Anganwadi Centres co-located in school premises (Govt/Aided)</t>
  </si>
  <si>
    <t>5.5</t>
  </si>
  <si>
    <t>% schools having PTR as per RTE norm at primary level</t>
  </si>
  <si>
    <t>5.6a</t>
  </si>
  <si>
    <t>% Primary schools meeting head-teacher norms (RTE)</t>
  </si>
  <si>
    <t>5.6b</t>
  </si>
  <si>
    <t>% Upper Primary schools meeting head-teacher norms (RTE)</t>
  </si>
  <si>
    <t>5.7</t>
  </si>
  <si>
    <t>% Secondary Schools having Principal/HM in position</t>
  </si>
  <si>
    <t>5.8</t>
  </si>
  <si>
    <t>Avg days to release Central fund share - Recurring</t>
  </si>
  <si>
    <t>PRABANDH</t>
  </si>
  <si>
    <t>5.9</t>
  </si>
  <si>
    <t>Avg days to release Central fund share - Non-Recurring</t>
  </si>
  <si>
    <t>5.10</t>
  </si>
  <si>
    <t>% children receiving orientation on cyber safety</t>
  </si>
  <si>
    <t>5.11</t>
  </si>
  <si>
    <t>% schools having internet used for pedagogical purposes</t>
  </si>
  <si>
    <t>5.12</t>
  </si>
  <si>
    <t>Avg days to release State fund share</t>
  </si>
  <si>
    <t>5.13</t>
  </si>
  <si>
    <t>% Out-of-School Children (OoSC) identified as per PRABANDH</t>
  </si>
  <si>
    <t>5.14</t>
  </si>
  <si>
    <t>% OoSC mainstreamed as per PRABANDH</t>
  </si>
  <si>
    <t>5.15</t>
  </si>
  <si>
    <t>% schools assisted through Vidyanjali Portal (Govt/Aided)</t>
  </si>
  <si>
    <t>Vidyanjali</t>
  </si>
  <si>
    <t>Domain 6: Teacher Education &amp; Training (TE&amp;T) - 100</t>
  </si>
  <si>
    <t>6.1</t>
  </si>
  <si>
    <t>% schools having trained teachers for teaching CWSN</t>
  </si>
  <si>
    <t>6.2</t>
  </si>
  <si>
    <t>% schools where teachers provide career counselling (Sec/HSec Govt)</t>
  </si>
  <si>
    <t>6.3</t>
  </si>
  <si>
    <t>% teachers whose Aadhar/Unique ID seeded in database (Govt/Aided)</t>
  </si>
  <si>
    <t>6.4</t>
  </si>
  <si>
    <t>Proportion of teachers with minimal professional qualifications - Pre-Primary</t>
  </si>
  <si>
    <t>6.5</t>
  </si>
  <si>
    <t>Proportion of teachers with minimal professional qualifications - Primary</t>
  </si>
  <si>
    <t>6.6</t>
  </si>
  <si>
    <t>Proportion of teachers with minimal professional qualifications - Upper Primary</t>
  </si>
  <si>
    <t>6.7</t>
  </si>
  <si>
    <t>Proportion of teachers with minimal professional qualifications - Secondary</t>
  </si>
  <si>
    <t>6.8</t>
  </si>
  <si>
    <t>Proportion of teachers with minimal professional qualifications - Higher Secondary</t>
  </si>
  <si>
    <t>DOMAIN-WISE SUMMARY — GUJARAT STATE</t>
  </si>
  <si>
    <t>Max Weight</t>
  </si>
  <si>
    <t>GUJARAT STATE — OVERALL PGI 2.0 SCORE</t>
  </si>
  <si>
    <t>Enter raw indicator scores per district (blue cells). Category &amp; Domain totals, % Achieved and Grade calculate automatically. District names pulled from Districts_Setup. See last column for entry guidance.</t>
  </si>
  <si>
    <t>Category</t>
  </si>
  <si>
    <t>Ind. No.</t>
  </si>
  <si>
    <t>State Avg (33 Districts)</t>
  </si>
  <si>
    <t>Category 1: Outcomes (290)</t>
  </si>
  <si>
    <t>1.1 Learning Outcomes &amp; Quality (LOQ)</t>
  </si>
  <si>
    <t>1.1.1</t>
  </si>
  <si>
    <t>Enter the score (0–20) awarded for this indicator under PGI-D, from RPS/NAS, UDISE+ or PRABANDH as shown in 'Data Source'.</t>
  </si>
  <si>
    <t>1.2 Access Outcomes (AO)</t>
  </si>
  <si>
    <t>1.3 Teacher Availability &amp; Professional Development (TAPDO)</t>
  </si>
  <si>
    <t>Category 2: Effective Classroom Transaction (90)</t>
  </si>
  <si>
    <t>2.1 Learning Management (LM)</t>
  </si>
  <si>
    <t>2.2 Learning Enrichment Activities (LEA)</t>
  </si>
  <si>
    <t>2.2.10</t>
  </si>
  <si>
    <t>2.2.11</t>
  </si>
  <si>
    <t>Category 3: Infrastructure, Facilities &amp; Student Entitlements (51)</t>
  </si>
  <si>
    <t>3. Infrastructure &amp; Entitlements</t>
  </si>
  <si>
    <t>Category 4: School Safety &amp; Child Protection (35)</t>
  </si>
  <si>
    <t>4. School Safety &amp; Child Protection</t>
  </si>
  <si>
    <t>Category 5: Digital Learning (50)</t>
  </si>
  <si>
    <t>5. Digital Learning</t>
  </si>
  <si>
    <t>Category 6: Governance Processes (84)</t>
  </si>
  <si>
    <t>6. Governance Processes</t>
  </si>
  <si>
    <t>DOMAIN &amp; CATEGORY-WISE SUMMARY BY DISTRICT</t>
  </si>
  <si>
    <t>Category / Domain</t>
  </si>
  <si>
    <t>State Avg</t>
  </si>
  <si>
    <t xml:space="preserve">   1.1 Learning Outcomes &amp; Quality (LOQ)</t>
  </si>
  <si>
    <t xml:space="preserve">   1.2 Access Outcomes (AO)</t>
  </si>
  <si>
    <t xml:space="preserve">   1.3 Teacher Availability &amp; Professional Development (TAPDO)</t>
  </si>
  <si>
    <t>CATEGORY 1: OUTCOMES (290) — TOTAL</t>
  </si>
  <si>
    <t xml:space="preserve">   2.1 Learning Management (LM)</t>
  </si>
  <si>
    <t xml:space="preserve">   2.2 Learning Enrichment Activities (LEA)</t>
  </si>
  <si>
    <t>CATEGORY 2: EFFECTIVE CLASSROOM TRANSACTION (90) — TOTAL</t>
  </si>
  <si>
    <t xml:space="preserve">   3. Infrastructure &amp; Entitlements</t>
  </si>
  <si>
    <t>CATEGORY 3: INFRASTRUCTURE, FACILITIES &amp; STUDENT ENTITLEMENTS (51) — TOTAL</t>
  </si>
  <si>
    <t xml:space="preserve">   4. School Safety &amp; Child Protection</t>
  </si>
  <si>
    <t>CATEGORY 4: SCHOOL SAFETY &amp; CHILD PROTECTION (35) — TOTAL</t>
  </si>
  <si>
    <t xml:space="preserve">   5. Digital Learning</t>
  </si>
  <si>
    <t>CATEGORY 5: DIGITAL LEARNING (50) — TOTAL</t>
  </si>
  <si>
    <t xml:space="preserve">   6. Governance Processes</t>
  </si>
  <si>
    <t>CATEGORY 6: GOVERNANCE PROCESSES (84) — TOTAL</t>
  </si>
  <si>
    <t>DISTRICT OVERALL PGI-D 2.0 SCORE (out of 600)</t>
  </si>
  <si>
    <t>% Achieved</t>
  </si>
  <si>
    <t>PGI-D Grade</t>
  </si>
  <si>
    <t>Enter the proportion of district students (0-1, e.g. 0.62 for 62%) who mastered each competency, from the PARAKH RS district-wise report (dashboard.parakh.ncert.gov.in). District Average and Gap vs National compute automatically.</t>
  </si>
  <si>
    <t>Subject</t>
  </si>
  <si>
    <t>Competency Code</t>
  </si>
  <si>
    <t>Competency Description</t>
  </si>
  <si>
    <t>National (Benchmark)</t>
  </si>
  <si>
    <t>District Avg</t>
  </si>
  <si>
    <t>How to Enter This Value</t>
  </si>
  <si>
    <t>Language</t>
  </si>
  <si>
    <t>C-9.7</t>
  </si>
  <si>
    <t>Knows and uses enough words to carry out day-to-day interactions effectively and can guess the meaning of new words by using existing Vocabulary</t>
  </si>
  <si>
    <t>Enter as a decimal 0-1 (e.g. 0.62 for 62%) of this district's tested students who mastered the competency.</t>
  </si>
  <si>
    <t>C-10.5</t>
  </si>
  <si>
    <t>Reads short stories and comprehends their meaning - by identifying characters, storyline and what the author wants to say - on their own</t>
  </si>
  <si>
    <t>C-10.7</t>
  </si>
  <si>
    <t>Reads and comprehends the meaning of short news items, instructions and recipes, and publicity material</t>
  </si>
  <si>
    <t>Mathematics</t>
  </si>
  <si>
    <t>C-8.1</t>
  </si>
  <si>
    <t>Sorts objects into groups and sub-groups based on more than one property</t>
  </si>
  <si>
    <t>C-8.2</t>
  </si>
  <si>
    <t>Identifies and extends simple patterns in their surroundings, shapes, and numbers</t>
  </si>
  <si>
    <t>C-8.4</t>
  </si>
  <si>
    <t>Arranges numbers up to 99 in ascending and descending order</t>
  </si>
  <si>
    <t>C-8.5</t>
  </si>
  <si>
    <t>Recognises and uses numerals to represent quantities up to 99 with the understanding of decimal place value system</t>
  </si>
  <si>
    <t>C-8.6</t>
  </si>
  <si>
    <t>Performs addition and subtraction of 2-digit numbers fluently using flexible strategies of composition and decomposition of both numerical and word problems</t>
  </si>
  <si>
    <t>C-8.7</t>
  </si>
  <si>
    <t>Recognises multiplication as repeated addition and division as equal sharing</t>
  </si>
  <si>
    <t>C-8.8</t>
  </si>
  <si>
    <t>Recognises, makes, and classifies basic geometric shapes and their observable properties, and understands and explains the relative relation of objects in space</t>
  </si>
  <si>
    <t>C-8.9</t>
  </si>
  <si>
    <t>Selects appropriate tools and units to perform simple measurements of length, weight, and volume of objects in their immediate environment</t>
  </si>
  <si>
    <t>C-8.10</t>
  </si>
  <si>
    <t>Performs simple measurements of time in minutes, hours, day, weeks, and months</t>
  </si>
  <si>
    <t>C-8.11</t>
  </si>
  <si>
    <t>Performs simple transactions using money up to INR 100</t>
  </si>
  <si>
    <t>C-8.12</t>
  </si>
  <si>
    <t>Develops adequate and appropriate vocabulary for comprehending and expressing concepts and procedures related to quantities, shapes, space, and measurements</t>
  </si>
  <si>
    <t>C-8.13</t>
  </si>
  <si>
    <t>Formulates and solves simple mathematical problems related to quantities, shapes, space, and measurements</t>
  </si>
  <si>
    <t>National Avg</t>
  </si>
  <si>
    <t>OVERALL FOUNDATIONAL STAGE (GRADE 3) AVERAGE</t>
  </si>
  <si>
    <t>C-2.1</t>
  </si>
  <si>
    <t>Applies varied comprehension strategies (inference, prediction, visualisation) to understand different texts</t>
  </si>
  <si>
    <t>C-2.2</t>
  </si>
  <si>
    <t>Understands main ideas and draws essential conclusions from the material read</t>
  </si>
  <si>
    <t>C-1.1</t>
  </si>
  <si>
    <t>Represents numbers using the place value structure of the Indian number system, compares whole numbers, and knows and can read the names of very large numbers</t>
  </si>
  <si>
    <t>C-1.2</t>
  </si>
  <si>
    <t>Represents and compares commonly used fractions in daily life (such as ½, ¼) as parts of unit wholes, as locations on number lines and as divisions of whole numbers</t>
  </si>
  <si>
    <t>C-1.3</t>
  </si>
  <si>
    <t>Understands and visualises arithmetic operations and the relationships among them, knows addition and multiplication tables at least up to 10×10 (Pahade) and applies the four basic operations on whole numbers to solve daily life problems</t>
  </si>
  <si>
    <t>C-1.4</t>
  </si>
  <si>
    <t>Recognises, describes, and extends simple number patterns such as odd numbers, even numbers, square numbers, cubes, powers of 2, powers of 10, and Virahanka–Fibonacci numbers.</t>
  </si>
  <si>
    <t>Describes location and movement using both common language and mathematical vocabulary; understands the notion of map (Najri Naksha)</t>
  </si>
  <si>
    <t>C-2.4</t>
  </si>
  <si>
    <t>Discovers, recognises, describes, and extends patterns in 2D and 3D shapes</t>
  </si>
  <si>
    <t>C-3.3</t>
  </si>
  <si>
    <t>Carries out simple unit conversions, such as from centimetres to metres, within a system of measurement</t>
  </si>
  <si>
    <t>C-3.5</t>
  </si>
  <si>
    <t>Devises strategies for estimating the distance, length, time, perimeter (for regular and irregular shapes), area (for regular and irregular shapes), weight, and volume and verifies the same using standard units</t>
  </si>
  <si>
    <t>C-4.1</t>
  </si>
  <si>
    <t>Solves puzzles and daily-life problems involving one or more operations on whole numbers (including word puzzles and puzzles from ‘recreational’ areas, such as the construction of magic squares)</t>
  </si>
  <si>
    <t>C-4.3</t>
  </si>
  <si>
    <t>Selects appropriate methods and tools for computing with whole numbers, such as mental computation, estimation, or paper pencil calculation, in accordance with the context</t>
  </si>
  <si>
    <t>The World Around Us</t>
  </si>
  <si>
    <t>Observes and identifies the natural (insects, plants, birds, animals, geographical features, sun and moon, stars, planets, natural resources) and social (houses, relationships) components in their immediate environment</t>
  </si>
  <si>
    <t>Asks questions and makes predictions about simple patterns (season change, food chain, phases of the moon, movement of stars and planets, shapes of trees, plants, leaves, and flowers, rituals, celebrations) observed in the immediate environment</t>
  </si>
  <si>
    <t>Explains the functioning of local institutions (family, school, bank/post office, market, and panchayat) in different forms (story, drawing, tabulating data, reports), and analyses their roles</t>
  </si>
  <si>
    <t>Identifies natural and human-made systems that support their lives (water supply, water cycle, river flow systems, seasons, life cycle of plants and animals, food, household items, transport, communication, electricity in the home)</t>
  </si>
  <si>
    <t>Describes the relationship between the natural environment and cultural practices in their immediate environment (nature of work, food, festivals, traditions)</t>
  </si>
  <si>
    <t>C-3.1</t>
  </si>
  <si>
    <t>Describes the basic safety needs and protection (health and hygiene, food, water, shelter, precautions, awareness of emergency situations, abuse, and unsafe situations) of humans, birds, and animals</t>
  </si>
  <si>
    <t>C-3.2</t>
  </si>
  <si>
    <t>Discusses how to prepare for emergency situations (smoke, fire, small injuries, burns, electrical safety, unseasonal rains, fallen trees) based on discussions with family and community, or personal experiences</t>
  </si>
  <si>
    <t>Observes and describes diversity among plants, and birds and animals in their immediate environment (shape, sounds, food habits, growth, habitat)</t>
  </si>
  <si>
    <t>Describes usage of natural resources in their immediate environment</t>
  </si>
  <si>
    <t>C-4.7</t>
  </si>
  <si>
    <t>Learns about basic social and behavioural norms, values, and dispositions that benefit our social and natural environments and that help our society function smoothly (using dustbins, standing in queues, conserving water, using public transportation, keeping one’s environment clean, always helping others in need regardless of background)</t>
  </si>
  <si>
    <t>C-5.3</t>
  </si>
  <si>
    <t>Reads simple maps of city, state, and country to identify natural and human-made features (well, lake, post office, school, hospital) with reference to symbols and directions</t>
  </si>
  <si>
    <t>OVERALL PREPARATORY STAGE (GRADE 6) AVERAGE</t>
  </si>
  <si>
    <t>Identifies main points and summarises from careful listening or reading of the text (news articles, reports, editorials)</t>
  </si>
  <si>
    <t>Discovers, identifies, and explores patterns in numbers and describes rules for their formation (e.g., multiples of 7, powers of 3, prime numbers), and explains relations between different patterns</t>
  </si>
  <si>
    <t>Explores and understands sets of numbers, such as whole numbers, fractions, integers, rational numbers, and real numbers, and their properties, and visualises them on the number line</t>
  </si>
  <si>
    <t>C-1.5</t>
  </si>
  <si>
    <t>Explores the idea of percentage and applies it to solve problems</t>
  </si>
  <si>
    <t>C-1.6</t>
  </si>
  <si>
    <t>Explores and applies fractions (both as ratios and in decimal form) in daily-life situations</t>
  </si>
  <si>
    <t>Extends the representation of a number in the form of a variable or an algebraic expression using a variable</t>
  </si>
  <si>
    <t>C-2.3</t>
  </si>
  <si>
    <t>Forms algebraic expressions using variables, coefficients, and constants and manipulates them through basic operations</t>
  </si>
  <si>
    <t>C-2.5</t>
  </si>
  <si>
    <t>Develops own methods to solve puzzles and problems using algebraic thinking</t>
  </si>
  <si>
    <t>Outlines the properties of lines, angles, triangles, quadrilaterals, and polygons and applies them to solve related problems</t>
  </si>
  <si>
    <t>Understands congruence and similarity as it applies to geometric shapes and identifies similar and congruent triangles</t>
  </si>
  <si>
    <t>Discovers, understands, and uses formulae to determine the area of a square, triangle, parallelogram, and trapezium and develops strategies to find the areas of composite 2D shapes</t>
  </si>
  <si>
    <t>C-5.1</t>
  </si>
  <si>
    <t>Collects, organises, and interprets the data using measures of central tendencies such as average/mean, mode, and median</t>
  </si>
  <si>
    <t>C-6.1</t>
  </si>
  <si>
    <t>Applies both inductive and deductive logic to formulate definitions and conjectures, evaluate and produce convincing arguments or proofs to turn these definitions and conjectures into theorems or correct statements, particularly in the areas of algebra, elementary number theory, and geometry</t>
  </si>
  <si>
    <t>Science</t>
  </si>
  <si>
    <t>Classifies matter based on observable physical (solid, liquid, gas, shape, volume, density, transparent, opaque, translucent, magnetic, non-magnetic, conducting, non-conducting) and chemical (pure, impure; acid, base; metal, non-metal; element, compound) characteristics</t>
  </si>
  <si>
    <t>Describes changes in matter (physical and chemical) and uses particulate nature to represent the properties of matter and the changes</t>
  </si>
  <si>
    <t>Observes and explains the phenomena caused due to differences in pressure, temperature, and density (e.g., breathing, sinking-floating, water pumps in homes, cooling of things, formation of winds)</t>
  </si>
  <si>
    <t>Describes one-dimensional motion (uniform, nonuniform, horizontal, vertical) using physical measurements (position, speed, and changes in speed) through mathematical and diagrammatic representations</t>
  </si>
  <si>
    <t>Describes how electricity works through manipulating different elements in simple circuits and demonstrates the heating and magnetic effects of electricity</t>
  </si>
  <si>
    <t>Describes the properties of a magnet (natural and artificial; Earth as a magnet)</t>
  </si>
  <si>
    <t>Demonstrates rectilinear propagation of light from different sources (natural, artificial, reflecting surfaces), verifies the laws of reflection through manipulation of light sources and objects and the use of apparatus and artefacts (such as plane and curved mirrors, pinhole camera, kaleidoscope, periscope)</t>
  </si>
  <si>
    <t>Describes the diversity of living things observed in the natural surroundings (insects, earthworms, snails, birds, mammals, reptiles, spiders, diverse plants, and fungi), including at a smaller scale (microscopic organisms)</t>
  </si>
  <si>
    <t>Distinguishes the characteristics of living organisms (need for nutrition, growth and development, need for respiration, response to stimuli, reproduction, excretion, cellular organisation) from non-living things</t>
  </si>
  <si>
    <t>Undertakes a nutrition-based analysis of food components with special reference to Indian culinary practices and modern understanding of nutrition, and explains the effect of nutrition on health</t>
  </si>
  <si>
    <t>Describes biological changes (growth, hormonal) during adolescence, and measures to ensure overall well-being</t>
  </si>
  <si>
    <t>C-7.3</t>
  </si>
  <si>
    <t>Represents real world events and relationships through diagrams and simple mathematical representations</t>
  </si>
  <si>
    <t>Social Science</t>
  </si>
  <si>
    <t>Collects and interprets multiple sources of information (primary and secondary) to understand the historical, cultural, geographical, and socio-political aspects of human life</t>
  </si>
  <si>
    <t>Represents and analyses data related to various aspects of human life given in the form of text, tables, charts, diagrams, and maps</t>
  </si>
  <si>
    <t>Explains and analyses major changes in the past and their impact on society</t>
  </si>
  <si>
    <t>Recognises elements of the continued prevalence of certain beliefs, relationships, practices, and activities in human society, notwithstanding major changes in society</t>
  </si>
  <si>
    <t>Analyses the effect of various changes in early human society from nomadism to settled life and early civilisation (such as,  the emergence of agriculture, changes in food habits, basic technologies like construction, transport, pottery, metallurgy), and changes in human habitation, family structures and relationships, the nature of work, people’s socio-cultural beliefs and concepts over time (e.g., Ahimsa, and the fallout of major wars or invasions) that significantly impacted human societies</t>
  </si>
  <si>
    <t>C-4.2</t>
  </si>
  <si>
    <t>Assesses the influence of social, cultural, and political institutions on an individual or group or community or society in general</t>
  </si>
  <si>
    <t>Explains key natural phenomena, such as, climate, weather, ocean cycles, soil formation, the flow of rivers, and how they are spatially distributed</t>
  </si>
  <si>
    <t>C-6.2</t>
  </si>
  <si>
    <t>Identifies the distribution of resources, such as, water, agriculture, raw materials, and services across geographies</t>
  </si>
  <si>
    <t>C-6.3</t>
  </si>
  <si>
    <t>Analyses Indian perspectives on and efforts towards conservation and sustainability in society, and advocates the importance of the same, and what more needs to be done in these directions including in the context of global climate change</t>
  </si>
  <si>
    <t>C-6.4</t>
  </si>
  <si>
    <t>Correlates the existence of different patterns of livelihoods with different types of landforms, availability of resources, and climatic conditions and changes (in local, regional, national, and global contexts)</t>
  </si>
  <si>
    <t>C-7.1</t>
  </si>
  <si>
    <t>Explains India’s unity in diversity by recognising commonalities in its rich and diverse cultural elements, languages, art, philosophical ideas, values, clothing, cuisines, traditions, festivals, trade, commerce, and health practices including Ayurveda and yoga</t>
  </si>
  <si>
    <t>C-7.2</t>
  </si>
  <si>
    <t>Discovers the topographical diversity of the Indian landmass from the semi-arid zone in the west and the areas of heavy rains in the north-east to the long coastal areas in the south and the snow-clad mountains in the north, as well as the rich biodiversity of the country</t>
  </si>
  <si>
    <t>Explains the process of formation of the Indian Constitution and understands the ideas and ideals of the Indian national movement enshrined in it as well as those drawn from India’s civilisational heritage</t>
  </si>
  <si>
    <t>C-8.3</t>
  </si>
  <si>
    <t>Explains the working of the three tiers of local self-government and appreciates its significance in upholding democracy at the grassroot level</t>
  </si>
  <si>
    <t>C-9.1</t>
  </si>
  <si>
    <t>Explains the key elements of trade and commerce (commodity, production, consumption, and capital) and its impact on individual life and society</t>
  </si>
  <si>
    <t>OVERALL MIDDLE STAGE (GRADE 9) AVERAGE</t>
  </si>
  <si>
    <t>Auto-computed: average mastery (%) per Grade-Subject, linked live from the 3 stage-wise sheets. No manual entry needed here.</t>
  </si>
  <si>
    <t>District</t>
  </si>
  <si>
    <t>Grade 3 - Language</t>
  </si>
  <si>
    <t>Grade 3 - Mathematics</t>
  </si>
  <si>
    <t>Grade 6 - Language</t>
  </si>
  <si>
    <t>Grade 6 - Mathematics</t>
  </si>
  <si>
    <t>Grade 6 - The World Around Us</t>
  </si>
  <si>
    <t>Grade 9 - Language</t>
  </si>
  <si>
    <t>Grade 9 - Mathematics</t>
  </si>
  <si>
    <t>Grade 9 - Science</t>
  </si>
  <si>
    <t>Grade 9 - Social Science</t>
  </si>
  <si>
    <t>Enter the average % score for Boys and Girls separately, for each Grade-Subject, per district (decimal 0-1, e.g. 0.62 for 62%). Source: PARAKH RS dashboard, Gender filter.</t>
  </si>
  <si>
    <t>Boys (%)</t>
  </si>
  <si>
    <t>Girls (%)</t>
  </si>
  <si>
    <t>Enter the average % score for Rural and Urban schools separately, for each Grade-Subject, per district. Source: PARAKH RS dashboard, Location filter.</t>
  </si>
  <si>
    <t>Rural (%)</t>
  </si>
  <si>
    <t>Urban (%)</t>
  </si>
  <si>
    <t>Enter the average % score for each school management type, for each Grade-Subject, per district. Source: PARAKH RS dashboard, Management filter.</t>
  </si>
  <si>
    <t>State Govt (%)</t>
  </si>
  <si>
    <t>Govt Aided (%)</t>
  </si>
  <si>
    <t>Central Govt (%)</t>
  </si>
  <si>
    <t>Private Recognised (%)</t>
  </si>
  <si>
    <t>Enter the average % score for each social group, for each Grade-Subject, per district. Source: PARAKH RS dashboard, Social Category filter.</t>
  </si>
  <si>
    <t>SC (%)</t>
  </si>
  <si>
    <t>ST (%)</t>
  </si>
  <si>
    <t>OBC (%)</t>
  </si>
  <si>
    <t>General/Others (%)</t>
  </si>
  <si>
    <t xml:space="preserve">Source: dashboard.parakh.ncert.gov.in (Contextual Variables tab). For EACH district, enter the % of High-Performing schools and the % of Low-Performing schools reporting this domain issue, as a decimal 0-1 (e.g. 0.62 for 62%). </t>
  </si>
  <si>
    <t>Broader Domain</t>
  </si>
  <si>
    <t>Gujarat Avg —
High-Performing</t>
  </si>
  <si>
    <t>Gujarat Avg —
Low-Performing</t>
  </si>
  <si>
    <t>National (%)</t>
  </si>
  <si>
    <t>High-Performing (%)</t>
  </si>
  <si>
    <t>Low-Performing (%)</t>
  </si>
  <si>
    <t>School leadership and policy implementation</t>
  </si>
  <si>
    <t>Enter the decimal proportion 0-1 (e.g. 0.62 for 62%) reported for High-Performing and Low-Performing schools in this district, for this domain.</t>
  </si>
  <si>
    <t>Training and professional development</t>
  </si>
  <si>
    <t>Teaching and assessment practices</t>
  </si>
  <si>
    <t>Learning resources</t>
  </si>
  <si>
    <t>Parental and community engagement</t>
  </si>
  <si>
    <t>School monitoring</t>
  </si>
  <si>
    <t>Student development and support systems</t>
  </si>
  <si>
    <t>School infrastructure/facilities</t>
  </si>
  <si>
    <t>School environment</t>
  </si>
  <si>
    <t>Professional Information and Teaching experience</t>
  </si>
  <si>
    <t>Professional Development and Collaboration</t>
  </si>
  <si>
    <t>Pedagogy and assessment practices</t>
  </si>
  <si>
    <t>School Environment and Resources</t>
  </si>
  <si>
    <t>Social-Emotional competence</t>
  </si>
  <si>
    <t>Job satisfaction</t>
  </si>
  <si>
    <t>Community support</t>
  </si>
  <si>
    <t>Source: dashboard.parakh.ncert.gov.in (Contextual Variables tab). For EACH district, enter the % of High-Performing schools and the % of Low-Performing schools reporting this domain issue, as a decimal 0-1 (e.g. 0.62 for 62%). This sheet captures the Pupil Questionnaire domain-level results for Grade 3 specifically.</t>
  </si>
  <si>
    <t>Family background and demographics</t>
  </si>
  <si>
    <t>Access to digital device</t>
  </si>
  <si>
    <t>Learning preferences and interests</t>
  </si>
  <si>
    <t>Learning resources/environment at home</t>
  </si>
  <si>
    <t>School accessibility/facilities</t>
  </si>
  <si>
    <t>Teaching learning methods</t>
  </si>
  <si>
    <t>Mental health and social well-being</t>
  </si>
  <si>
    <t>School accessibility for CWSN</t>
  </si>
  <si>
    <t>Gujarat — PARAKH Contextual Variables: Pupil Questionnaire (Broader Domains) — Grade 6, All 33 Districts — High vs Low Performing</t>
  </si>
  <si>
    <t>Source: dashboard.parakh.ncert.gov.in (Contextual Variables tab). For EACH district, enter the % of High-Performing schools and the % of Low-Performing schools reporting this domain issue, as a decimal 0-1 (e.g. 0.62 for 62%). This sheet captures the Pupil Questionnaire domain-level results for Grade 6 specifically.</t>
  </si>
  <si>
    <t>Gujarat — PARAKH Contextual Variables: Pupil Questionnaire (Broader Domains) — Grade 9, All 33 Districts — High vs Low Performing</t>
  </si>
  <si>
    <t>Source: dashboard.parakh.ncert.gov.in (Contextual Variables tab). For EACH district, enter the % of High-Performing schools and the % of Low-Performing schools reporting this domain issue, as a decimal 0-1 (e.g. 0.62 for 62%). This sheet captures the Pupil Questionnaire domain-level results for Grade 9 specifically.</t>
  </si>
  <si>
    <t>1. Overall PGI-D 2.0 Score &amp; Grade by District (out of 600)</t>
  </si>
  <si>
    <t>Overall Score</t>
  </si>
  <si>
    <t>Grade</t>
  </si>
  <si>
    <t>2. Category-wise Score Comparison Across Districts (heat-map)</t>
  </si>
  <si>
    <t>Outcomes (/290)</t>
  </si>
  <si>
    <t>Classroom Transaction (/90)</t>
  </si>
  <si>
    <t>Infrastructure (/51)</t>
  </si>
  <si>
    <t>Safety &amp; Protection (/35)</t>
  </si>
  <si>
    <t>Digital Learning (/50)</t>
  </si>
  <si>
    <t>Governance (/84)</t>
  </si>
  <si>
    <t>3. PARAKH-linked Learning Outcome Indicators by District (PGI-D Domain 1.1, out of 20 each)</t>
  </si>
  <si>
    <t>Grade / Subject (RPS-NAS Indicator)</t>
  </si>
  <si>
    <t>1. Overall PARAKH Mastery by District (average across Foundational, Preparatory &amp; Middle Stage)</t>
  </si>
  <si>
    <t>Foundational (G3)</t>
  </si>
  <si>
    <t>Preparatory (G6)</t>
  </si>
  <si>
    <t>Middle (G9)</t>
  </si>
  <si>
    <t>Overall PARAKH Avg</t>
  </si>
  <si>
    <t>2. Subject-wise Mastery Comparison Across Districts (heat-map, from PARAKH_Subject_Performance)</t>
  </si>
  <si>
    <t>3. Average Performance by Gender (Boys vs Girls), All Grade-Subjects Combined</t>
  </si>
  <si>
    <t>Boys Avg (%)</t>
  </si>
  <si>
    <t>Girls Avg (%)</t>
  </si>
  <si>
    <t>Gap (Boys − Girls)</t>
  </si>
  <si>
    <t>4. Average Performance by Location (Rural vs Urban), All Grade-Subjects Combined</t>
  </si>
  <si>
    <t>Rural Avg (%)</t>
  </si>
  <si>
    <t>Urban Avg (%)</t>
  </si>
  <si>
    <t>Gap (Urban − Rural)</t>
  </si>
  <si>
    <t>5. Average Performance by School Management Type, All Grade-Subjects Combined</t>
  </si>
  <si>
    <t>6. Average Performance by Social Group, All Grade-Subjects Combined</t>
  </si>
  <si>
    <t>Gap (Gen−SC)</t>
  </si>
  <si>
    <t>Gap (Gen−ST)</t>
  </si>
  <si>
    <t>7. Contextual Variables Summary — High vs Low Performing Schools (Gujarat-wide average across all districts &amp; domains)</t>
  </si>
  <si>
    <t>Questionnaire</t>
  </si>
  <si>
    <t>Avg High-Performing (%)</t>
  </si>
  <si>
    <t>Avg Low-Performing (%)</t>
  </si>
  <si>
    <t>Gap (High − Low)</t>
  </si>
  <si>
    <t>School Questionnaire</t>
  </si>
  <si>
    <t>Teacher Questionnaire</t>
  </si>
  <si>
    <t>Pupil Questionnaire - Grade 3</t>
  </si>
  <si>
    <t>Pupil Questionnaire - Grade 6</t>
  </si>
  <si>
    <t>Pupil Questionnaire - Grade 9</t>
  </si>
  <si>
    <t>Combines each district's PGI-D 2.0 score (%) and PARAKH overall mastery (%) into one Composite Score, then classifies districts using the Performance Band lookup. Adjust the weighting in row 3 if you want PARAKH and PGI-D weighted differently (default: 50/50).</t>
  </si>
  <si>
    <t>Weight: PGI-D</t>
  </si>
  <si>
    <t>Weight: PARAKH</t>
  </si>
  <si>
    <t>(Weights should sum to 100%)</t>
  </si>
  <si>
    <t>PGI-D Score (%)</t>
  </si>
  <si>
    <t>PARAKH Overall Mastery (%)</t>
  </si>
  <si>
    <t>Composite Score (%)</t>
  </si>
  <si>
    <t>Performance Band</t>
  </si>
  <si>
    <t>Rank</t>
  </si>
  <si>
    <t>Priority Note</t>
  </si>
  <si>
    <t>SUMMARY: Number of Districts by Performance Band</t>
  </si>
  <si>
    <t>Low Performing</t>
  </si>
  <si>
    <t>Needs Improvement</t>
  </si>
  <si>
    <t>Average</t>
  </si>
  <si>
    <t>Good</t>
  </si>
  <si>
    <t>High Performing</t>
  </si>
  <si>
    <t>PGI 2.0 / PGI-D Grading Scale (applies to % Achieved of Max Score)</t>
  </si>
  <si>
    <t>Min % Achieved</t>
  </si>
  <si>
    <t>Grade Name</t>
  </si>
  <si>
    <t>% Band</t>
  </si>
  <si>
    <t>Description</t>
  </si>
  <si>
    <t>Akanshi-3</t>
  </si>
  <si>
    <t>0 - 10.9</t>
  </si>
  <si>
    <t>Akanshi-2</t>
  </si>
  <si>
    <t>11 - 20.9</t>
  </si>
  <si>
    <t>Akanshi-1</t>
  </si>
  <si>
    <t>21 - 30.9</t>
  </si>
  <si>
    <t>Prachesta-3</t>
  </si>
  <si>
    <t>31 - 40.9</t>
  </si>
  <si>
    <t>Prachesta-2</t>
  </si>
  <si>
    <t>41 - 50.9</t>
  </si>
  <si>
    <t>Prachesta-1</t>
  </si>
  <si>
    <t>51 - 60.9</t>
  </si>
  <si>
    <t>Uttam</t>
  </si>
  <si>
    <t>61 - 70.9</t>
  </si>
  <si>
    <t>Atti-Uttam</t>
  </si>
  <si>
    <t>71 - 80.9</t>
  </si>
  <si>
    <t>Utkarsh</t>
  </si>
  <si>
    <t>81 - 90.9</t>
  </si>
  <si>
    <t>Daksh</t>
  </si>
  <si>
    <t>91 - 100</t>
  </si>
  <si>
    <t>Min % Score</t>
  </si>
  <si>
    <t>Gujarat PARAKH + PGI 2.0 / PGI-D - Comprehensive State &amp; District Template</t>
  </si>
  <si>
    <t>Glossary - How to Fill Every Sheet in this Workbook</t>
  </si>
  <si>
    <t>Districts_Setup - confirm/edit the 33 district names.</t>
  </si>
  <si>
    <t>State_PGI_2.0 - enter Gujarat's state-level scores.</t>
  </si>
  <si>
    <t>District_PGI-D_600 - enter each district's scores.</t>
  </si>
  <si>
    <t>PARAKH_Foundational_G3 / Preparatory_G6 / Middle_G9 - enter competency mastery per district.</t>
  </si>
  <si>
    <t>PARAKH_By_Gender / By_Location / By_Management / By_SocialGroup - enter breakdown figures per district.</t>
  </si>
  <si>
    <t>PARAKH_Contextual_School / Contextual_Teacher / Contextual_Pupil_G3/G6/G9 - enter domain-level scores per district.</t>
  </si>
  <si>
    <t>Open Dashboard_PGI, Dashboard_PARAKH and Combined_Performance_Ranking to review results - all auto-calculated.</t>
  </si>
  <si>
    <t>Gujarat - All 33 Districts Covered in this Analysis</t>
  </si>
  <si>
    <t>Si</t>
  </si>
  <si>
    <t>Indicator #</t>
  </si>
  <si>
    <t>Gujarat - State-level PGI 2.0 Data Entry (Annexure-3, Total 1000 points), Domain-wise</t>
  </si>
  <si>
    <t>Gujarat - District-wise PGI-D 2.0 Data Entry (Annexure-2, Total 600 points), All 33 Districts</t>
  </si>
  <si>
    <t>Gujarat - PARAKH Learning Achievement: Foundational Stage (Grade 3) - All Competencies x All 33 Districts</t>
  </si>
  <si>
    <t>SUBJECT-WISE AVERAGE MASTERY BY DISTRICT - Foundational Stage (Grade 3)</t>
  </si>
  <si>
    <t>Gujarat - PARAKH Learning Achievement: Preparatory Stage (Grade 6) - All Competencies x All 33 Districts</t>
  </si>
  <si>
    <t>SUBJECT-WISE AVERAGE MASTERY BY DISTRICT - Preparatory Stage (Grade 6)</t>
  </si>
  <si>
    <t>Gujarat - PARAKH Learning Achievement: Middle Stage (Grade 9) - All Competencies x All 33 Districts</t>
  </si>
  <si>
    <t>SUBJECT-WISE AVERAGE MASTERY BY DISTRICT - Middle Stage (Grade 9)</t>
  </si>
  <si>
    <t>Gujarat - PARAKH Average Performance by Subject (all Grades), All 33 Districts</t>
  </si>
  <si>
    <t>Gujarat - PARAKH Average Performance by Gender, All 33 Districts</t>
  </si>
  <si>
    <t>Grade 6 - TWAU</t>
  </si>
  <si>
    <t>Gujarat - PARAKH Average Performance by Location (Rural vs Urban), All 33 Districts</t>
  </si>
  <si>
    <t>Grade 6 -TWAU</t>
  </si>
  <si>
    <t>Gujarat - PARAKH Average Performance by School Management, All 33 Districts</t>
  </si>
  <si>
    <t>Gujarat - PARAKH Average Performance by Social Group, All 33 Districts</t>
  </si>
  <si>
    <t>Gujarat - PARAKH Contextual Variables: School Questionnaire (Broader Domains), All 33 Districts - High vs Low Performing</t>
  </si>
  <si>
    <t>Gujarat Avg -
High-Performing</t>
  </si>
  <si>
    <t>Gujarat Avg -
Low-Performing</t>
  </si>
  <si>
    <t>Gujarat - PARAKH Contextual Variables: Teacher Questionnaire (Broader Domains), All 33 Districts - High vs Low Performing</t>
  </si>
  <si>
    <t>Gujarat - PARAKH Contextual Variables: Pupil Questionnaire (Broader Domains) - Grade 3, All 33 Districts - High vs Low Performing</t>
  </si>
  <si>
    <t>Gujarat - PGI / PGI-D 2.0 Comparison Dashboard (All 33 Districts)</t>
  </si>
  <si>
    <t>It is linked to 'District_PGI-D_600' and 'State_PGI_2.0'. Update data there; this dashboard refreshes automatically.</t>
  </si>
  <si>
    <t>Gujarat - PARAKH Learning Achievement Comparison Dashboard (All 33 Districts)</t>
  </si>
  <si>
    <t>It is linked to the 3 PARAKH stage sheets and PARAKH_Subject_Performance. Update data there; this dashboard refreshes automatically.</t>
  </si>
  <si>
    <t>Gujarat - Combined PARAKH + PGI-D Performance Ranking, All 33 Districts</t>
  </si>
  <si>
    <t xml:space="preserve">% of children in Grade 3 who have achieved minimum proficiency in Language                                                                                                                                                                                                                                                                                                                                                                                                                                                                                                                                              </t>
  </si>
  <si>
    <t xml:space="preserve">1.1.2 </t>
  </si>
  <si>
    <t xml:space="preserve">% of children in Grade 3 who have achieved minimum proficiency in Mathematics                                                                                                                                                                                                                                                                                                                                                                                                                                                                                                                                           </t>
  </si>
  <si>
    <t xml:space="preserve">1.1.3 </t>
  </si>
  <si>
    <t xml:space="preserve">% of children in Grade 6 who have achieved Grade level proficiency in Language                                                                                                                                                                                                                                                                                                                                                                                                                                                                                                                                          </t>
  </si>
  <si>
    <t xml:space="preserve">1.1.4 </t>
  </si>
  <si>
    <t xml:space="preserve">% of children in Grade 6 who have achieved Grade level proficiency in Mathematics                                                                                                                                                                                                                                                                                                                                                                                                                                                                                                                                       </t>
  </si>
  <si>
    <t xml:space="preserve">1.1.5 </t>
  </si>
  <si>
    <t xml:space="preserve">% of children in Grade 6 who have achieved Grade level proficiency in The World Around Us                                                                                                                                                                                                                                                                                                                                                                                                                                                                                                                               </t>
  </si>
  <si>
    <t xml:space="preserve">1.1.6 </t>
  </si>
  <si>
    <t xml:space="preserve">% of children in Grade 9 who have achieved Grade level proficiency in Language                                                                                                                                                                                                                                                                                                                                                                                                                                                                                                                                          </t>
  </si>
  <si>
    <t xml:space="preserve">1.1.7 </t>
  </si>
  <si>
    <t xml:space="preserve">% of children in Grade 9 who have achieved Grade level proficiency in Mathematics                                                                                                                                                                                                                                                                                                                                                                                                                                                                                                                                       </t>
  </si>
  <si>
    <t xml:space="preserve">1.1.8 </t>
  </si>
  <si>
    <t xml:space="preserve">% of children in Grade 9 who have achieved Grade level proficiency in Science                                                                                                                                                                                                                                                                                                                                                                                                                                                                                                                                           </t>
  </si>
  <si>
    <t xml:space="preserve">1.1.9 </t>
  </si>
  <si>
    <t xml:space="preserve">% of children in Grade 9 who have achieved Grade level proficiency in Social Science                                                                                                                                                                                                                                                                                                                                                                                                                                                                                                                                    </t>
  </si>
  <si>
    <t xml:space="preserve">1.2.1 </t>
  </si>
  <si>
    <t xml:space="preserve">% of children in Grade 1 who have attended at least one year of pre-primary schooling                                                                                                                                                                                                                                                                                                                                                                                                                                                                                                                                   </t>
  </si>
  <si>
    <t xml:space="preserve">1.2.3 </t>
  </si>
  <si>
    <t xml:space="preserve">  Transition Rate from : 1.       Primary to Upper Primary (Class 5 to Class 6)                                                                                                                                                                                                                                                                                                                                                                                                                                                                                                                                         </t>
  </si>
  <si>
    <t xml:space="preserve">1.2.4 </t>
  </si>
  <si>
    <t xml:space="preserve">   Transition Rate from : 2.       Upper Primary to Secondary (Class 8 to Class 9)                                                                                                                                                                                                                                                                                                                                                                                                                                                                                                                                      </t>
  </si>
  <si>
    <t xml:space="preserve">1.2.5 </t>
  </si>
  <si>
    <t xml:space="preserve">Retention Rate till Elementary Level (New enrollment in Class 8 in year t+7 / Enrollment in Class 1 in year t)                                                                                                                                                                                                                                                                                                                                                                                                                                                                                                          </t>
  </si>
  <si>
    <t xml:space="preserve">1.2.6 </t>
  </si>
  <si>
    <t xml:space="preserve">   1.    Retention Rate of Boys at secondary level                                                                                                                                                                                                                                                                                                                                                                                                                                                                                                                                                                      </t>
  </si>
  <si>
    <t xml:space="preserve">1.2.7 </t>
  </si>
  <si>
    <t xml:space="preserve">   2.    Retention Rate of Girls at Secondary level                                                                                                                                                                                                                                                                                                                                                                                                                                                                                                                                                                     </t>
  </si>
  <si>
    <t xml:space="preserve">1.3.1 </t>
  </si>
  <si>
    <t xml:space="preserve">% of Government school teachers in the district who have been assigned non-teaching assignments (Govt Schools)                                                                                                                                                                                                                                                                                                                                                                                                                                                                                                          </t>
  </si>
  <si>
    <t xml:space="preserve">1.3.2 </t>
  </si>
  <si>
    <t xml:space="preserve">% of teachers received training (Subject knowledge, Pedagogical issues, ICT Skills, Knowledge and skills to engage with CWSN, Leadership and management skills, etc.)                                                                                                                                                                                                                                                                                                                                                                                                                                                   </t>
  </si>
  <si>
    <t xml:space="preserve">1.3.3 </t>
  </si>
  <si>
    <t xml:space="preserve">% of Primary Schools in the district with Pupil Teacher Ratio (PTR) less than 30 (All Schools)                                                                                                                                                                                                                                                                                                                                                                                                                                                                                                                          </t>
  </si>
  <si>
    <t xml:space="preserve">1.3.4 </t>
  </si>
  <si>
    <t xml:space="preserve">% of Upper Primary Schools in the district with Pupil Teacher Ratio (PTR) less than 30  (All Schools)                                                                                                                                                                                                                                                                                                                                                                                                                                                                                                                   </t>
  </si>
  <si>
    <t xml:space="preserve">1.3.5 </t>
  </si>
  <si>
    <t xml:space="preserve">% of schools that have received at least Average two visits per month by CRC for academic support  (Govt Schools)                                                                                                                                                                                                                                                                                                                                                                                                                                                                                                       </t>
  </si>
  <si>
    <t xml:space="preserve">1.2.2 </t>
  </si>
  <si>
    <t xml:space="preserve">% of identified out-of- school children mainstreamed in last completed academic year in the district                                                                                                                                                                                                                                                                                                                                                                                                                                                                                                                    </t>
  </si>
  <si>
    <t xml:space="preserve">2.1.1 </t>
  </si>
  <si>
    <t xml:space="preserve">% of schools with primary section having balvatika/Preprimary sections.                                                                                                                                                                                                                                                                                                                                                                                                                                                                                                                                                 </t>
  </si>
  <si>
    <t xml:space="preserve">2.1.2 </t>
  </si>
  <si>
    <t xml:space="preserve">% of schools actively undertakes academic enrichment activities, such as Project/Group work, portfolio, virtual labs, class performances, quizzes/debates, creative writing, etc                                                                                                                                                                                                                                                                                                                                                                                                                                        </t>
  </si>
  <si>
    <t xml:space="preserve">2.1.3 </t>
  </si>
  <si>
    <t xml:space="preserve">% of schools implemented Continuous and Comprehensive Evaluation (CCE) in School                                                                                                                                                                                                                                                                                                                                                                                                                                                                                                                                        </t>
  </si>
  <si>
    <t xml:space="preserve">2.1.4 </t>
  </si>
  <si>
    <t xml:space="preserve">% of schools where learning outcome-based assessment items created in all classes                                                                                                                                                                                                                                                                                                                                                                                                                                                                                                                                       </t>
  </si>
  <si>
    <t xml:space="preserve">2.1.5 </t>
  </si>
  <si>
    <t xml:space="preserve">% of student taught in official language of State/UT in primary and Upper primary level                                                                                                                                                                                                                                                                                                                                                                                                                                                                                                                                 </t>
  </si>
  <si>
    <t xml:space="preserve">2.1.6 </t>
  </si>
  <si>
    <t xml:space="preserve">% of schools that utilize graded supplementary material in classroom transactions                                                                                                                                                                                                                                                                                                                                                                                                                                                                                                                                       </t>
  </si>
  <si>
    <t xml:space="preserve">2.1.7 </t>
  </si>
  <si>
    <t xml:space="preserve">% of schools Where TLM (Teaching Learning Material) available for each grade                                                                                                                                                                                                                                                                                                                                                                                                                                                                                                                                            </t>
  </si>
  <si>
    <t xml:space="preserve">2.1.8 </t>
  </si>
  <si>
    <t xml:space="preserve">% of Government and Government aided schools Providing Holistic Report Card                                                                                                                                                                                                                                                                                                                                                                                                                                                                                                                                             </t>
  </si>
  <si>
    <t xml:space="preserve">2.2.1 </t>
  </si>
  <si>
    <t xml:space="preserve">Functional Girl’s Toilet                                                                                                                                                                                                                                                                                                                                                                                                                                                                                                                                                                                                </t>
  </si>
  <si>
    <t xml:space="preserve">2.2.2 </t>
  </si>
  <si>
    <t xml:space="preserve">Functional Boys’ Toilet                                                                                                                                                                                                                                                                                                                                                                                                                                                                                                                                                                                                 </t>
  </si>
  <si>
    <t xml:space="preserve">2.2.3 </t>
  </si>
  <si>
    <t xml:space="preserve">CWSN friendly toilet                                                                                                                                                                                                                                                                                                                                                                                                                                                                                                                                                                                                    </t>
  </si>
  <si>
    <t xml:space="preserve">2.2.4 </t>
  </si>
  <si>
    <t xml:space="preserve">Clean and potable drinking water facility                                                                                                                                                                                                                                                                                                                                                                                                                                                                                                                                                                               </t>
  </si>
  <si>
    <t xml:space="preserve">2.2.5 </t>
  </si>
  <si>
    <t xml:space="preserve">Hand wash area/s                                                                                                                                                                                                                                                                                                                                                                                                                                                                                                                                                                                                        </t>
  </si>
  <si>
    <t xml:space="preserve">2.2.6 </t>
  </si>
  <si>
    <t xml:space="preserve">Rainwater harvesting structures in school                                                                                                                                                                                                                                                                                                                                                                                                                                                                                                                                                                               </t>
  </si>
  <si>
    <t xml:space="preserve">2.2.7 </t>
  </si>
  <si>
    <t xml:space="preserve">Playground                                                                                                                                                                                                                                                                                                                                                                                                                                                                                                                                                                                                              </t>
  </si>
  <si>
    <t xml:space="preserve">2.2.8 </t>
  </si>
  <si>
    <t xml:space="preserve">Sports equipment                                                                                                                                                                                                                                                                                                                                                                                                                                                                                                                                                                                                        </t>
  </si>
  <si>
    <t xml:space="preserve">2.2.9 </t>
  </si>
  <si>
    <t xml:space="preserve">Certified as Fit India School                                                                                                                                                                                                                                                                                                                                                                                                                                                                                                                                                                                           </t>
  </si>
  <si>
    <t xml:space="preserve">Conducted at least 1 activity from the enlisted activities at school level                                                                                                                                                                                                                                                                                                                                                                                                                                                                                                                                              </t>
  </si>
  <si>
    <t xml:space="preserve">School Development and Management Committee have been Constituted as per Samagra Shiksha guidelines                                                                                                                                                                                                                                                                                                                                                                                                                                                                                                                     </t>
  </si>
  <si>
    <t xml:space="preserve">% of Elementary Level schools getting Free Textbooks within one month of start of academic year                                                                                                                                                                                                                                                                                                                                                                                                                                                                                                                         </t>
  </si>
  <si>
    <t xml:space="preserve">% of Elementary Level Schools getting Uniforms within one month of the start of academic year                                                                                                                                                                                                                                                                                                                                                                                                                                                                                                                           </t>
  </si>
  <si>
    <t xml:space="preserve">% of entitled CWSN who have received aids and appliances (Govt. and aided schools)                                                                                                                                                                                                                                                                                                                                                                                                                                                                                                                                      </t>
  </si>
  <si>
    <t xml:space="preserve">Library and/ or Reading Corner                                                                                                                                                                                                                                                                                                                                                                                                                                                                                                                                                                                          </t>
  </si>
  <si>
    <t xml:space="preserve">Ramp with railing                                                                                                                                                                                                                                                                                                                                                                                                                                                                                                                                                                                                       </t>
  </si>
  <si>
    <t xml:space="preserve">Integrated Science laboratory                                                                                                                                                                                                                                                                                                                                                                                                                                                                                                                                                                                           </t>
  </si>
  <si>
    <t xml:space="preserve">Kitchen Garden                                                                                                                                                                                                                                                                                                                                                                                                                                                                                                                                                                                                          </t>
  </si>
  <si>
    <t xml:space="preserve">Library books                                                                                                                                                                                                                                                                                                                                                                                                                                                                                                                                                                                                           </t>
  </si>
  <si>
    <t xml:space="preserve">Activities under composite school grant                                                                                                                                                                                                                                                                                                                                                                                                                                                                                                                                                                                 </t>
  </si>
  <si>
    <t xml:space="preserve">% of schools having Eco and Youth Club                                                                                                                                                                                                                                                                                                                                                                                                                                                                                                                                                                                  </t>
  </si>
  <si>
    <t xml:space="preserve">% of schools has appointed any teacher as a first level counselor                                                                                                                                                                                                                                                                                                                                                                                                                                                                                                                                                       </t>
  </si>
  <si>
    <t xml:space="preserve">% of schools where Safety Audit has been conducted (structural and non-structural)                                                                                                                                                                                                                                                                                                                                                                                                                                                                                                                                      </t>
  </si>
  <si>
    <t xml:space="preserve">% of school where students and teachers undergo regular training in school safety and disaster preparedness                                                                                                                                                                                                                                                                                                                                                                                                                                                                                                             </t>
  </si>
  <si>
    <t xml:space="preserve">% of Schools maintains Annual health records of students                                                                                                                                                                                                                                                                                                                                                                                                                                                                                                                                                                </t>
  </si>
  <si>
    <t xml:space="preserve">% of girls Student provided Self Defense training at Upper Primary/Secondary/ Higher Secondary grades                                                                                                                                                                                                                                                                                                                                                                                                                                                                                                                   </t>
  </si>
  <si>
    <t xml:space="preserve">% of Schools that have developed School Disaster Management Plan (SDMP)                                                                                                                                                                                                                                                                                                                                                                                                                                                                                                                                                 </t>
  </si>
  <si>
    <t xml:space="preserve">% of Schools where self-certification is obtained from State School Standard Authority (SSSA)                                                                                                                                                                                                                                                                                                                                                                                                                                                                                                                           </t>
  </si>
  <si>
    <t xml:space="preserve">% of Schools with internet facility for pedagogical purposes                                                                                                                                                                                                                                                                                                                                                                                                                                                                                                                                                            </t>
  </si>
  <si>
    <t xml:space="preserve">% of schools with computer/ laptop used for pedagogical purposes                                                                                                                                                                                                                                                                                                                                                                                                                                                                                                                                                        </t>
  </si>
  <si>
    <t xml:space="preserve">% of schools having computer-assisted teaching learning facility (e.g. smart classrooms)                                                                                                                                                                                                                                                                                                                                                                                                                                                                                                                                </t>
  </si>
  <si>
    <t xml:space="preserve">Student-to-Computer Ratio (computers used for pedagogical purposes will only be considered here)                                                                                                                                                                                                                                                                                                                                                                                                                                                                                                                        </t>
  </si>
  <si>
    <t xml:space="preserve">% of teachers trained in use of computer and teaching through computer                                                                                                                                                                                                                                                                                                                                                                                                                                                                                                                                                  </t>
  </si>
  <si>
    <t xml:space="preserve">% of Grants under Samagra Shiksha Funds utilized (against funds received to the  school) during previous financial year                                                                                                                                                                                                                                                                                                                                                                                                                                                                                                 </t>
  </si>
  <si>
    <t xml:space="preserve">% of schools that have received Financial Assistance (NGOs, PSUs, Community and other sources)                                                                                                                                                                                                                                                                                                                                                                                                                                                                                                                          </t>
  </si>
  <si>
    <t xml:space="preserve">a.      % of schools with digital attendance system to monitor teacher attendance                                                                                                                                                                                                                                                                                                                                                                                                                                                                                                                                       </t>
  </si>
  <si>
    <t xml:space="preserve">b.      % of schools with digital attendance system to monitor student attendance                                                                                                                                                                                                                                                                                                                                                                                                                                                                                                                                       </t>
  </si>
  <si>
    <t xml:space="preserve">Average annual attendance of students (total attendance of students / (total teaching days * total enrolment)                                                                                                                                                                                                                                                                                                                                                                                                                                                                                                           </t>
  </si>
  <si>
    <t xml:space="preserve">a. % of schools meeting head-teacher norms for primary level as per RTE- Schools having Primary Classes                                                                                                                                                                                                                                                                                                                                                                                                                                                                                                                 </t>
  </si>
  <si>
    <t xml:space="preserve">b. % of schools meeting head-teacher norms for Upper Primary level as per RTE                                                                                                                                                                                                                                                                                                                                                                                                                                                                                                                                           </t>
  </si>
  <si>
    <t>PRS/Parakh</t>
  </si>
  <si>
    <t>Opportunities and Planning for Career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</si>
</sst>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
  </numFmts>
  <fonts count="26" x14ac:knownFonts="1">
    <font>
      <sz val="11"/>
      <color theme="1"/>
      <name val="Calibri"/>
      <family val="2"/>
      <charset val="1"/>
    </font>
    <font>
      <b/>
      <sz val="9"/>
      <color rgb="FFFFFFFF"/>
      <name val="Arial"/>
      <family val="2"/>
    </font>
    <font>
      <sz val="9"/>
      <color rgb="FF000000"/>
      <name val="Arial"/>
      <family val="2"/>
    </font>
    <font>
      <b/>
      <sz val="12"/>
      <color rgb="FFFFFFFF"/>
      <name val="Arial"/>
      <family val="2"/>
    </font>
    <font>
      <b/>
      <sz val="15"/>
      <color rgb="FFFFFFFF"/>
      <name val="Calibri"/>
      <family val="2"/>
    </font>
    <font>
      <sz val="11"/>
      <color theme="1"/>
      <name val="Calibri"/>
      <family val="2"/>
    </font>
    <font>
      <b/>
      <sz val="9"/>
      <color rgb="FFFFFFFF"/>
      <name val="Calibri"/>
      <family val="2"/>
    </font>
    <font>
      <b/>
      <sz val="9"/>
      <color rgb="FF000000"/>
      <name val="Calibri"/>
      <family val="2"/>
    </font>
    <font>
      <sz val="9"/>
      <color rgb="FF000000"/>
      <name val="Calibri"/>
      <family val="2"/>
    </font>
    <font>
      <b/>
      <sz val="12"/>
      <color rgb="FFFFFFFF"/>
      <name val="Calibri"/>
      <family val="2"/>
    </font>
    <font>
      <sz val="12"/>
      <color theme="1"/>
      <name val="Calibri"/>
      <family val="2"/>
    </font>
    <font>
      <b/>
      <sz val="12"/>
      <color rgb="FF000000"/>
      <name val="Calibri"/>
      <family val="2"/>
    </font>
    <font>
      <sz val="12"/>
      <color rgb="FF000000"/>
      <name val="Calibri"/>
      <family val="2"/>
    </font>
    <font>
      <b/>
      <sz val="12"/>
      <color rgb="FF0000FF"/>
      <name val="Calibri"/>
      <family val="2"/>
    </font>
    <font>
      <b/>
      <sz val="16"/>
      <color rgb="FFFFFFFF"/>
      <name val="Calibri"/>
      <family val="2"/>
    </font>
    <font>
      <b/>
      <sz val="12"/>
      <color theme="2" tint="-0.89999084444715716"/>
      <name val="Calibri"/>
      <family val="2"/>
    </font>
    <font>
      <i/>
      <sz val="12"/>
      <color rgb="FF404040"/>
      <name val="Calibri"/>
      <family val="2"/>
    </font>
    <font>
      <b/>
      <sz val="11"/>
      <color rgb="FF1F4E78"/>
      <name val="Calibri"/>
      <family val="2"/>
    </font>
    <font>
      <sz val="12"/>
      <color rgb="FF1F4E78"/>
      <name val="Calibri"/>
      <family val="2"/>
    </font>
    <font>
      <sz val="12"/>
      <color rgb="FF0000FF"/>
      <name val="Calibri"/>
      <family val="2"/>
    </font>
    <font>
      <i/>
      <sz val="12"/>
      <color rgb="FF595959"/>
      <name val="Calibri"/>
      <family val="2"/>
    </font>
    <font>
      <b/>
      <sz val="12"/>
      <color rgb="FF1F4E78"/>
      <name val="Calibri"/>
      <family val="2"/>
    </font>
    <font>
      <sz val="12"/>
      <color rgb="FF2E75B6"/>
      <name val="Calibri"/>
      <family val="2"/>
    </font>
    <font>
      <i/>
      <sz val="12"/>
      <color rgb="FF000000"/>
      <name val="Calibri"/>
      <family val="2"/>
    </font>
    <font>
      <i/>
      <sz val="11"/>
      <color rgb="FF404040"/>
      <name val="Calibri"/>
      <family val="2"/>
    </font>
    <font>
      <b/>
      <sz val="9"/>
      <color theme="2" tint="-0.89999084444715716"/>
      <name val="Calibri"/>
      <family val="2"/>
    </font>
  </fonts>
  <fills count="34">
    <fill>
      <patternFill patternType="none"/>
    </fill>
    <fill>
      <patternFill patternType="gray125"/>
    </fill>
    <fill>
      <patternFill patternType="solid">
        <fgColor rgb="FF1F4E78"/>
        <bgColor rgb="FF003366"/>
      </patternFill>
    </fill>
    <fill>
      <patternFill patternType="solid">
        <fgColor rgb="FFD9E2F3"/>
        <bgColor rgb="FFD9D9D9"/>
      </patternFill>
    </fill>
    <fill>
      <patternFill patternType="solid">
        <fgColor rgb="FFFCE4D6"/>
        <bgColor rgb="FFFCE5CD"/>
      </patternFill>
    </fill>
    <fill>
      <patternFill patternType="solid">
        <fgColor rgb="FFFFD966"/>
        <bgColor rgb="FFFCE5CD"/>
      </patternFill>
    </fill>
    <fill>
      <patternFill patternType="solid">
        <fgColor rgb="FF2E75B6"/>
        <bgColor rgb="FF4F81BD"/>
      </patternFill>
    </fill>
    <fill>
      <patternFill patternType="solid">
        <fgColor rgb="FFF4CCCC"/>
        <bgColor rgb="FFD9D9D9"/>
      </patternFill>
    </fill>
    <fill>
      <patternFill patternType="solid">
        <fgColor rgb="FFFCE5CD"/>
        <bgColor rgb="FFFCE4D6"/>
      </patternFill>
    </fill>
    <fill>
      <patternFill patternType="solid">
        <fgColor rgb="FFFFF2CC"/>
        <bgColor rgb="FFFCE5CD"/>
      </patternFill>
    </fill>
    <fill>
      <patternFill patternType="solid">
        <fgColor rgb="FFD9EAD3"/>
        <bgColor rgb="FFD9E2F3"/>
      </patternFill>
    </fill>
    <fill>
      <patternFill patternType="solid">
        <fgColor rgb="FFB6D7A8"/>
        <bgColor rgb="FFBFBFBF"/>
      </patternFill>
    </fill>
    <fill>
      <patternFill patternType="solid">
        <fgColor theme="9"/>
        <bgColor rgb="FF003366"/>
      </patternFill>
    </fill>
    <fill>
      <patternFill patternType="solid">
        <fgColor theme="9" tint="0.59999389629810485"/>
        <bgColor rgb="FF003366"/>
      </patternFill>
    </fill>
    <fill>
      <patternFill patternType="solid">
        <fgColor theme="9" tint="0.59999389629810485"/>
        <bgColor indexed="64"/>
      </patternFill>
    </fill>
    <fill>
      <patternFill patternType="solid">
        <fgColor theme="9" tint="0.59999389629810485"/>
        <bgColor rgb="FF4F81BD"/>
      </patternFill>
    </fill>
    <fill>
      <patternFill patternType="solid">
        <fgColor rgb="FF00B050"/>
        <bgColor rgb="FF003366"/>
      </patternFill>
    </fill>
    <fill>
      <patternFill patternType="solid">
        <fgColor theme="6" tint="0.59999389629810485"/>
        <bgColor rgb="FF003366"/>
      </patternFill>
    </fill>
    <fill>
      <patternFill patternType="solid">
        <fgColor theme="7"/>
        <bgColor rgb="FF003366"/>
      </patternFill>
    </fill>
    <fill>
      <patternFill patternType="solid">
        <fgColor theme="7" tint="0.59999389629810485"/>
        <bgColor rgb="FF003366"/>
      </patternFill>
    </fill>
    <fill>
      <patternFill patternType="solid">
        <fgColor rgb="FFFFC000"/>
        <bgColor rgb="FF003366"/>
      </patternFill>
    </fill>
    <fill>
      <patternFill patternType="solid">
        <fgColor rgb="FFFFD579"/>
        <bgColor rgb="FF003366"/>
      </patternFill>
    </fill>
    <fill>
      <patternFill patternType="solid">
        <fgColor theme="5"/>
        <bgColor rgb="FF003366"/>
      </patternFill>
    </fill>
    <fill>
      <patternFill patternType="solid">
        <fgColor theme="5" tint="0.59999389629810485"/>
        <bgColor rgb="FF003366"/>
      </patternFill>
    </fill>
    <fill>
      <patternFill patternType="solid">
        <fgColor theme="6" tint="-0.499984740745262"/>
        <bgColor rgb="FF003366"/>
      </patternFill>
    </fill>
    <fill>
      <patternFill patternType="solid">
        <fgColor theme="6" tint="-0.249977111117893"/>
        <bgColor rgb="FF003366"/>
      </patternFill>
    </fill>
    <fill>
      <patternFill patternType="solid">
        <fgColor theme="6" tint="0.39997558519241921"/>
        <bgColor rgb="FF4F81BD"/>
      </patternFill>
    </fill>
    <fill>
      <patternFill patternType="solid">
        <fgColor theme="2" tint="-0.249977111117893"/>
        <bgColor rgb="FF4F81BD"/>
      </patternFill>
    </fill>
    <fill>
      <patternFill patternType="solid">
        <fgColor theme="2" tint="-0.749992370372631"/>
        <bgColor rgb="FF003366"/>
      </patternFill>
    </fill>
    <fill>
      <patternFill patternType="solid">
        <fgColor theme="2" tint="-0.749992370372631"/>
        <bgColor rgb="FF4F81BD"/>
      </patternFill>
    </fill>
    <fill>
      <patternFill patternType="solid">
        <fgColor theme="9" tint="0.39997558519241921"/>
        <bgColor rgb="FF003366"/>
      </patternFill>
    </fill>
    <fill>
      <patternFill patternType="solid">
        <fgColor theme="9" tint="-0.249977111117893"/>
        <bgColor rgb="FF003366"/>
      </patternFill>
    </fill>
    <fill>
      <patternFill patternType="solid">
        <fgColor rgb="FFFF2F92"/>
        <bgColor rgb="FF003366"/>
      </patternFill>
    </fill>
    <fill>
      <patternFill patternType="solid">
        <fgColor rgb="FFFF8AD8"/>
        <bgColor rgb="FF003366"/>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10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1" fillId="2" borderId="0" xfId="0" applyFont="1" applyFill="1"/>
    <xf numFmtId="0" fontId="2" fillId="0" borderId="0" xfId="0" applyFont="1"/>
    <xf numFmtId="0" fontId="5" fillId="0" borderId="0" xfId="0" applyFont="1"/>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xf numFmtId="0" fontId="7" fillId="0" borderId="1" xfId="0" applyFont="1" applyBorder="1"/>
    <xf numFmtId="0" fontId="10" fillId="0" borderId="0" xfId="0" applyFont="1"/>
    <xf numFmtId="0" fontId="9" fillId="2"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1" fillId="0" borderId="0" xfId="0" applyFont="1"/>
    <xf numFmtId="0" fontId="13" fillId="0" borderId="1" xfId="0" applyFont="1" applyBorder="1"/>
    <xf numFmtId="0" fontId="12" fillId="0" borderId="1" xfId="0" applyFont="1" applyBorder="1"/>
    <xf numFmtId="0" fontId="11" fillId="0" borderId="1" xfId="0" applyFont="1" applyBorder="1"/>
    <xf numFmtId="0" fontId="11" fillId="3" borderId="1" xfId="0" applyFont="1" applyFill="1" applyBorder="1"/>
    <xf numFmtId="0" fontId="11" fillId="4" borderId="1" xfId="0" applyFont="1" applyFill="1" applyBorder="1"/>
    <xf numFmtId="0" fontId="11" fillId="5" borderId="1" xfId="0" applyFont="1" applyFill="1" applyBorder="1"/>
    <xf numFmtId="0" fontId="15" fillId="13" borderId="1" xfId="0" applyFont="1" applyFill="1" applyBorder="1" applyAlignment="1">
      <alignment horizontal="center" vertical="center" wrapText="1"/>
    </xf>
    <xf numFmtId="0" fontId="11" fillId="14" borderId="0" xfId="0" applyFont="1" applyFill="1"/>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5" fillId="17" borderId="1" xfId="0" applyFont="1" applyFill="1" applyBorder="1" applyAlignment="1">
      <alignment horizontal="center" vertical="center" wrapText="1"/>
    </xf>
    <xf numFmtId="164" fontId="8" fillId="0" borderId="1" xfId="0" applyNumberFormat="1" applyFont="1" applyBorder="1" applyAlignment="1">
      <alignment horizontal="center" vertical="center" wrapText="1"/>
    </xf>
    <xf numFmtId="0" fontId="17" fillId="0" borderId="0" xfId="0" applyFont="1"/>
    <xf numFmtId="0" fontId="6" fillId="6" borderId="1" xfId="0" applyFont="1" applyFill="1" applyBorder="1" applyAlignment="1">
      <alignment horizontal="center" vertical="center" wrapText="1"/>
    </xf>
    <xf numFmtId="0" fontId="16" fillId="0" borderId="0" xfId="0" applyFont="1"/>
    <xf numFmtId="0" fontId="18" fillId="0" borderId="1" xfId="0" applyFont="1" applyBorder="1" applyAlignment="1">
      <alignment horizontal="left" vertical="center" wrapText="1"/>
    </xf>
    <xf numFmtId="164" fontId="19" fillId="0" borderId="1" xfId="0" applyNumberFormat="1" applyFont="1" applyBorder="1" applyAlignment="1">
      <alignment horizontal="center" vertical="center" wrapText="1"/>
    </xf>
    <xf numFmtId="164" fontId="12" fillId="0" borderId="1" xfId="0" applyNumberFormat="1" applyFont="1" applyBorder="1" applyAlignment="1">
      <alignment horizontal="center" vertical="center" wrapText="1"/>
    </xf>
    <xf numFmtId="0" fontId="20" fillId="0" borderId="1" xfId="0" applyFont="1" applyBorder="1" applyAlignment="1">
      <alignment horizontal="left" vertical="center" wrapText="1"/>
    </xf>
    <xf numFmtId="0" fontId="21" fillId="0" borderId="0" xfId="0" applyFont="1"/>
    <xf numFmtId="0" fontId="9" fillId="6"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164" fontId="11" fillId="3" borderId="1" xfId="0" applyNumberFormat="1" applyFont="1" applyFill="1" applyBorder="1" applyAlignment="1">
      <alignment horizontal="center" vertical="center" wrapText="1"/>
    </xf>
    <xf numFmtId="0" fontId="11" fillId="5" borderId="1" xfId="0" applyFont="1" applyFill="1" applyBorder="1" applyAlignment="1">
      <alignment horizontal="left" vertical="center" wrapText="1"/>
    </xf>
    <xf numFmtId="0" fontId="11" fillId="5" borderId="1" xfId="0" applyFont="1" applyFill="1" applyBorder="1" applyAlignment="1">
      <alignment horizontal="center" vertical="center" wrapText="1"/>
    </xf>
    <xf numFmtId="164" fontId="11" fillId="5" borderId="1" xfId="0" applyNumberFormat="1" applyFont="1" applyFill="1" applyBorder="1" applyAlignment="1">
      <alignment horizontal="center" vertical="center" wrapText="1"/>
    </xf>
    <xf numFmtId="0" fontId="15" fillId="19" borderId="1" xfId="0" applyFont="1" applyFill="1" applyBorder="1" applyAlignment="1">
      <alignment horizontal="center" vertical="center" wrapText="1"/>
    </xf>
    <xf numFmtId="0" fontId="5" fillId="0" borderId="1" xfId="0" applyFont="1" applyBorder="1"/>
    <xf numFmtId="0" fontId="22" fillId="0" borderId="1" xfId="0" applyFont="1" applyBorder="1" applyAlignment="1">
      <alignment horizontal="left" vertical="center" wrapText="1"/>
    </xf>
    <xf numFmtId="0" fontId="12" fillId="3" borderId="1" xfId="0" applyFont="1" applyFill="1" applyBorder="1" applyAlignment="1">
      <alignment horizontal="center" vertical="center" wrapText="1"/>
    </xf>
    <xf numFmtId="164" fontId="12" fillId="3"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0" fontId="10" fillId="0" borderId="1" xfId="0" applyFont="1" applyBorder="1"/>
    <xf numFmtId="164" fontId="12" fillId="0" borderId="1" xfId="0" applyNumberFormat="1" applyFont="1" applyBorder="1"/>
    <xf numFmtId="0" fontId="15" fillId="21"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9" fontId="8" fillId="0" borderId="1" xfId="0" applyNumberFormat="1" applyFont="1" applyBorder="1" applyAlignment="1">
      <alignment horizontal="center" vertical="center" wrapText="1"/>
    </xf>
    <xf numFmtId="9" fontId="7" fillId="0" borderId="1" xfId="0" applyNumberFormat="1" applyFont="1" applyBorder="1" applyAlignment="1">
      <alignment horizontal="center" vertical="center" wrapText="1"/>
    </xf>
    <xf numFmtId="0" fontId="21" fillId="0" borderId="1" xfId="0" applyFont="1" applyBorder="1" applyAlignment="1">
      <alignment horizontal="left" vertical="center" wrapText="1"/>
    </xf>
    <xf numFmtId="9" fontId="12" fillId="0" borderId="1" xfId="0" applyNumberFormat="1" applyFont="1" applyBorder="1" applyAlignment="1">
      <alignment horizontal="center" vertical="center" wrapText="1"/>
    </xf>
    <xf numFmtId="9" fontId="19"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9" fontId="11" fillId="0" borderId="1" xfId="0" applyNumberFormat="1" applyFont="1" applyBorder="1" applyAlignment="1">
      <alignment horizontal="center" vertical="center" wrapText="1"/>
    </xf>
    <xf numFmtId="9" fontId="11" fillId="5" borderId="1" xfId="0" applyNumberFormat="1" applyFont="1" applyFill="1" applyBorder="1" applyAlignment="1">
      <alignment horizontal="center" vertical="center"/>
    </xf>
    <xf numFmtId="9" fontId="11" fillId="5" borderId="0" xfId="0" applyNumberFormat="1" applyFont="1" applyFill="1" applyAlignment="1">
      <alignment horizontal="center" vertical="center"/>
    </xf>
    <xf numFmtId="0" fontId="10" fillId="0" borderId="0" xfId="0" applyFont="1" applyAlignment="1">
      <alignment horizontal="center" vertical="center"/>
    </xf>
    <xf numFmtId="0" fontId="15" fillId="23" borderId="1" xfId="0" applyFont="1" applyFill="1" applyBorder="1" applyAlignment="1">
      <alignment horizontal="center" vertical="center" wrapText="1"/>
    </xf>
    <xf numFmtId="0" fontId="25" fillId="26" borderId="1" xfId="0" applyFont="1" applyFill="1" applyBorder="1" applyAlignment="1">
      <alignment horizontal="center" vertical="center" wrapText="1"/>
    </xf>
    <xf numFmtId="0" fontId="25" fillId="27" borderId="1" xfId="0" applyFont="1" applyFill="1" applyBorder="1" applyAlignment="1">
      <alignment horizontal="center" vertical="center" wrapText="1"/>
    </xf>
    <xf numFmtId="165" fontId="8"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25" fillId="30" borderId="1" xfId="0" applyFont="1" applyFill="1" applyBorder="1" applyAlignment="1">
      <alignment horizontal="center" vertical="center" wrapText="1"/>
    </xf>
    <xf numFmtId="166" fontId="8" fillId="0" borderId="1" xfId="0" applyNumberFormat="1" applyFont="1" applyBorder="1" applyAlignment="1">
      <alignment horizontal="center" vertical="center" wrapText="1"/>
    </xf>
    <xf numFmtId="0" fontId="25" fillId="13" borderId="1" xfId="0" applyFont="1" applyFill="1" applyBorder="1" applyAlignment="1">
      <alignment horizontal="center" vertical="center" wrapText="1"/>
    </xf>
    <xf numFmtId="0" fontId="7" fillId="7" borderId="1" xfId="0" applyFont="1" applyFill="1" applyBorder="1"/>
    <xf numFmtId="0" fontId="7" fillId="8" borderId="1" xfId="0" applyFont="1" applyFill="1" applyBorder="1"/>
    <xf numFmtId="0" fontId="7" fillId="9" borderId="1" xfId="0" applyFont="1" applyFill="1" applyBorder="1"/>
    <xf numFmtId="0" fontId="7" fillId="10" borderId="1" xfId="0" applyFont="1" applyFill="1" applyBorder="1"/>
    <xf numFmtId="0" fontId="7" fillId="11" borderId="1" xfId="0" applyFont="1" applyFill="1" applyBorder="1"/>
    <xf numFmtId="9" fontId="19" fillId="0" borderId="0" xfId="0" applyNumberFormat="1" applyFont="1" applyAlignment="1">
      <alignment horizontal="center"/>
    </xf>
    <xf numFmtId="0" fontId="25" fillId="33" borderId="1" xfId="0" applyFont="1" applyFill="1" applyBorder="1" applyAlignment="1">
      <alignment horizontal="center" vertical="center" wrapText="1"/>
    </xf>
    <xf numFmtId="0" fontId="14" fillId="32" borderId="0" xfId="0" applyFont="1" applyFill="1" applyAlignment="1">
      <alignment horizontal="center" vertical="center" wrapText="1"/>
    </xf>
    <xf numFmtId="0" fontId="16" fillId="0" borderId="0" xfId="0" applyFont="1"/>
    <xf numFmtId="0" fontId="14" fillId="12" borderId="0" xfId="0" applyFont="1" applyFill="1" applyAlignment="1">
      <alignment horizontal="center" vertical="center" wrapText="1"/>
    </xf>
    <xf numFmtId="0" fontId="12" fillId="0" borderId="1" xfId="0" applyFont="1" applyBorder="1" applyAlignment="1">
      <alignment horizontal="left" vertical="center" wrapText="1"/>
    </xf>
    <xf numFmtId="0" fontId="15" fillId="15" borderId="1" xfId="0" applyFont="1" applyFill="1" applyBorder="1"/>
    <xf numFmtId="0" fontId="9" fillId="16" borderId="0" xfId="0" applyFont="1" applyFill="1" applyAlignment="1">
      <alignment horizontal="center" vertical="center" wrapText="1"/>
    </xf>
    <xf numFmtId="0" fontId="16" fillId="0" borderId="0" xfId="0" applyFont="1" applyAlignment="1">
      <alignment vertical="center"/>
    </xf>
    <xf numFmtId="0" fontId="14" fillId="18" borderId="0" xfId="0" applyFont="1" applyFill="1" applyAlignment="1">
      <alignment horizontal="center" vertical="center" wrapText="1"/>
    </xf>
    <xf numFmtId="0" fontId="11" fillId="4" borderId="1"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11" fillId="0" borderId="2" xfId="0" applyFont="1" applyBorder="1"/>
    <xf numFmtId="0" fontId="11" fillId="5" borderId="1" xfId="0" applyFont="1" applyFill="1" applyBorder="1" applyAlignment="1">
      <alignment horizontal="left" vertical="center" wrapText="1"/>
    </xf>
    <xf numFmtId="0" fontId="14" fillId="20" borderId="0" xfId="0" applyFont="1" applyFill="1" applyAlignment="1">
      <alignment horizontal="center" vertical="center" wrapText="1"/>
    </xf>
    <xf numFmtId="0" fontId="14" fillId="22" borderId="0" xfId="0" applyFont="1" applyFill="1" applyAlignment="1">
      <alignment horizontal="center" vertical="center" wrapText="1"/>
    </xf>
    <xf numFmtId="0" fontId="14" fillId="2" borderId="0" xfId="0" applyFont="1" applyFill="1" applyAlignment="1">
      <alignment horizontal="center" vertical="center" wrapText="1"/>
    </xf>
    <xf numFmtId="0" fontId="9"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4" fillId="2" borderId="0" xfId="0" applyFont="1" applyFill="1" applyAlignment="1">
      <alignment horizontal="center" vertical="top" wrapText="1"/>
    </xf>
    <xf numFmtId="0" fontId="15" fillId="26" borderId="3" xfId="0" applyFont="1" applyFill="1" applyBorder="1" applyAlignment="1">
      <alignment horizontal="center" vertical="center" wrapText="1"/>
    </xf>
    <xf numFmtId="0" fontId="9" fillId="25" borderId="1" xfId="0" applyFont="1" applyFill="1" applyBorder="1" applyAlignment="1">
      <alignment horizontal="center" vertical="center" wrapText="1"/>
    </xf>
    <xf numFmtId="0" fontId="9" fillId="24" borderId="0" xfId="0" applyFont="1" applyFill="1" applyAlignment="1">
      <alignment horizontal="center" vertical="center" wrapText="1"/>
    </xf>
    <xf numFmtId="0" fontId="9" fillId="29" borderId="3" xfId="0" applyFont="1" applyFill="1" applyBorder="1" applyAlignment="1">
      <alignment horizontal="center" vertical="center" wrapText="1"/>
    </xf>
    <xf numFmtId="0" fontId="9" fillId="28" borderId="1" xfId="0" applyFont="1" applyFill="1" applyBorder="1" applyAlignment="1">
      <alignment horizontal="center" vertical="center" wrapText="1"/>
    </xf>
    <xf numFmtId="0" fontId="14" fillId="28" borderId="0" xfId="0" applyFont="1" applyFill="1" applyAlignment="1">
      <alignment horizontal="center" vertical="center" wrapText="1"/>
    </xf>
    <xf numFmtId="0" fontId="4" fillId="12" borderId="0" xfId="0" applyFont="1" applyFill="1" applyAlignment="1">
      <alignment horizontal="center" vertical="center" wrapText="1"/>
    </xf>
    <xf numFmtId="0" fontId="14" fillId="31" borderId="0" xfId="0" applyFont="1" applyFill="1" applyAlignment="1">
      <alignment horizontal="center" vertical="center" wrapText="1"/>
    </xf>
    <xf numFmtId="0" fontId="24" fillId="0" borderId="0" xfId="0" applyFont="1"/>
    <xf numFmtId="0" fontId="3" fillId="2" borderId="0" xfId="0" applyFont="1" applyFill="1" applyAlignment="1">
      <alignment horizontal="center" vertical="center" wrapText="1"/>
    </xf>
  </cellXfs>
  <cellStyles count="1">
    <cellStyle name="Normal" xfId="0" builtinId="0"/>
  </cellStyles>
  <dxfs count="175">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D9EAD3"/>
        </patternFill>
      </fill>
    </dxf>
    <dxf>
      <fill>
        <patternFill>
          <bgColor rgb="FFF4CCCC"/>
        </patternFill>
      </fill>
    </dxf>
    <dxf>
      <fill>
        <patternFill>
          <bgColor rgb="FFD9EAD3"/>
        </patternFill>
      </fill>
    </dxf>
    <dxf>
      <fill>
        <patternFill>
          <bgColor rgb="FFF4CCCC"/>
        </patternFill>
      </fill>
    </dxf>
    <dxf>
      <fill>
        <patternFill>
          <bgColor rgb="FFD9EAD3"/>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0AD47"/>
      <rgbColor rgb="FF800080"/>
      <rgbColor rgb="FF008080"/>
      <rgbColor rgb="FFBFBFBF"/>
      <rgbColor rgb="FF878787"/>
      <rgbColor rgb="FF9966CC"/>
      <rgbColor rgb="FF7030A0"/>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CE4D6"/>
      <rgbColor rgb="FFD9EAD3"/>
      <rgbColor rgb="FFFCE5CD"/>
      <rgbColor rgb="FFB6D7A8"/>
      <rgbColor rgb="FFFF99CC"/>
      <rgbColor rgb="FFCC99FF"/>
      <rgbColor rgb="FFF4CCCC"/>
      <rgbColor rgb="FF2E75B6"/>
      <rgbColor rgb="FF33CCCC"/>
      <rgbColor rgb="FF9BBB59"/>
      <rgbColor rgb="FFFFD966"/>
      <rgbColor rgb="FFBF8F00"/>
      <rgbColor rgb="FFFF6600"/>
      <rgbColor rgb="FF8064A2"/>
      <rgbColor rgb="FF638EC6"/>
      <rgbColor rgb="FF003366"/>
      <rgbColor rgb="FF4F81BD"/>
      <rgbColor rgb="FF003300"/>
      <rgbColor rgb="FF595959"/>
      <rgbColor rgb="FF993300"/>
      <rgbColor rgb="FFC0504D"/>
      <rgbColor rgb="FF1F4E78"/>
      <rgbColor rgb="FF404040"/>
      <rgbColor rgb="00003366"/>
      <rgbColor rgb="00339966"/>
      <rgbColor rgb="00003300"/>
      <rgbColor rgb="00333300"/>
      <rgbColor rgb="00993300"/>
      <rgbColor rgb="00993366"/>
      <rgbColor rgb="00333399"/>
      <rgbColor rgb="00333333"/>
    </indexedColors>
    <mruColors>
      <color rgb="FFFF8AD8"/>
      <color rgb="FFFF2F92"/>
      <color rgb="FFFFD579"/>
      <color rgb="FFF0FF00"/>
      <color rgb="FFAA91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Overall PGI-D 2.0 Score by District (out of 600)</a:t>
            </a:r>
          </a:p>
        </c:rich>
      </c:tx>
      <c:overlay val="0"/>
      <c:spPr>
        <a:noFill/>
        <a:ln w="0">
          <a:noFill/>
        </a:ln>
      </c:spPr>
    </c:title>
    <c:autoTitleDeleted val="0"/>
    <c:plotArea>
      <c:layout/>
      <c:barChart>
        <c:barDir val="col"/>
        <c:grouping val="clustered"/>
        <c:varyColors val="0"/>
        <c:ser>
          <c:idx val="0"/>
          <c:order val="0"/>
          <c:tx>
            <c:strRef>
              <c:f>Dashboard_PGI!$B$5</c:f>
              <c:strCache>
                <c:ptCount val="1"/>
                <c:pt idx="0">
                  <c:v>Overall Score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Dashboard_PGI!$A$6:$A$38</c:f>
              <c:strCache>
                <c:ptCount val="33"/>
                <c:pt idx="0">
                  <c:v>Ahmedabad</c:v>
                </c:pt>
                <c:pt idx="1">
                  <c:v>Amreli</c:v>
                </c:pt>
                <c:pt idx="2">
                  <c:v>Anand</c:v>
                </c:pt>
                <c:pt idx="3">
                  <c:v>Aravalli</c:v>
                </c:pt>
                <c:pt idx="4">
                  <c:v>Banaskantha</c:v>
                </c:pt>
                <c:pt idx="5">
                  <c:v>Bharuch</c:v>
                </c:pt>
                <c:pt idx="6">
                  <c:v>Bhavnagar</c:v>
                </c:pt>
                <c:pt idx="7">
                  <c:v>Botad</c:v>
                </c:pt>
                <c:pt idx="8">
                  <c:v>Chhota Udepur</c:v>
                </c:pt>
                <c:pt idx="9">
                  <c:v>Dahod</c:v>
                </c:pt>
                <c:pt idx="10">
                  <c:v>Dang</c:v>
                </c:pt>
                <c:pt idx="11">
                  <c:v>Devbhoomi Dwarka</c:v>
                </c:pt>
                <c:pt idx="12">
                  <c:v>Gandhinagar</c:v>
                </c:pt>
                <c:pt idx="13">
                  <c:v>Gir Somnath</c:v>
                </c:pt>
                <c:pt idx="14">
                  <c:v>Jamnagar</c:v>
                </c:pt>
                <c:pt idx="15">
                  <c:v>Junagadh</c:v>
                </c:pt>
                <c:pt idx="16">
                  <c:v>Kutch</c:v>
                </c:pt>
                <c:pt idx="17">
                  <c:v>Kheda</c:v>
                </c:pt>
                <c:pt idx="18">
                  <c:v>Mahisagar</c:v>
                </c:pt>
                <c:pt idx="19">
                  <c:v>Mehsana</c:v>
                </c:pt>
                <c:pt idx="20">
                  <c:v>Morbi</c:v>
                </c:pt>
                <c:pt idx="21">
                  <c:v>Narmada</c:v>
                </c:pt>
                <c:pt idx="22">
                  <c:v>Navsari</c:v>
                </c:pt>
                <c:pt idx="23">
                  <c:v>Panchmahal</c:v>
                </c:pt>
                <c:pt idx="24">
                  <c:v>Patan</c:v>
                </c:pt>
                <c:pt idx="25">
                  <c:v>Porbandar</c:v>
                </c:pt>
                <c:pt idx="26">
                  <c:v>Rajkot</c:v>
                </c:pt>
                <c:pt idx="27">
                  <c:v>Sabarkantha</c:v>
                </c:pt>
                <c:pt idx="28">
                  <c:v>Surat</c:v>
                </c:pt>
                <c:pt idx="29">
                  <c:v>Surendranagar</c:v>
                </c:pt>
                <c:pt idx="30">
                  <c:v>Tapi</c:v>
                </c:pt>
                <c:pt idx="31">
                  <c:v>Vadodara</c:v>
                </c:pt>
                <c:pt idx="32">
                  <c:v>Valsad</c:v>
                </c:pt>
              </c:strCache>
            </c:strRef>
          </c:cat>
          <c:val>
            <c:numRef>
              <c:f>Dashboard_PGI!$B$6:$B$38</c:f>
              <c:numCache>
                <c:formatCode>0.0</c:formatCode>
                <c:ptCount val="33"/>
                <c:pt idx="0">
                  <c:v>308.82</c:v>
                </c:pt>
                <c:pt idx="1">
                  <c:v>315.39999999999998</c:v>
                </c:pt>
                <c:pt idx="2">
                  <c:v>335.37</c:v>
                </c:pt>
                <c:pt idx="3">
                  <c:v>320.97999999999996</c:v>
                </c:pt>
                <c:pt idx="4">
                  <c:v>319.24</c:v>
                </c:pt>
                <c:pt idx="5">
                  <c:v>318.11</c:v>
                </c:pt>
                <c:pt idx="6">
                  <c:v>334.29999999999995</c:v>
                </c:pt>
                <c:pt idx="7">
                  <c:v>322.01</c:v>
                </c:pt>
                <c:pt idx="8">
                  <c:v>300.96000000000004</c:v>
                </c:pt>
                <c:pt idx="9">
                  <c:v>305.67</c:v>
                </c:pt>
                <c:pt idx="10">
                  <c:v>314.50999999999993</c:v>
                </c:pt>
                <c:pt idx="11">
                  <c:v>330.76000000000005</c:v>
                </c:pt>
                <c:pt idx="12">
                  <c:v>338.3</c:v>
                </c:pt>
                <c:pt idx="13">
                  <c:v>321.32</c:v>
                </c:pt>
                <c:pt idx="14">
                  <c:v>310.02</c:v>
                </c:pt>
                <c:pt idx="15">
                  <c:v>336.63</c:v>
                </c:pt>
                <c:pt idx="16">
                  <c:v>313.68000000000006</c:v>
                </c:pt>
                <c:pt idx="17">
                  <c:v>321.79999999999995</c:v>
                </c:pt>
                <c:pt idx="18">
                  <c:v>327.52000000000004</c:v>
                </c:pt>
                <c:pt idx="19">
                  <c:v>338.75</c:v>
                </c:pt>
                <c:pt idx="20">
                  <c:v>319.32</c:v>
                </c:pt>
                <c:pt idx="21">
                  <c:v>327.02999999999997</c:v>
                </c:pt>
                <c:pt idx="22">
                  <c:v>345.42</c:v>
                </c:pt>
                <c:pt idx="23">
                  <c:v>327.10000000000002</c:v>
                </c:pt>
                <c:pt idx="24">
                  <c:v>323.85000000000002</c:v>
                </c:pt>
                <c:pt idx="25">
                  <c:v>321.03000000000003</c:v>
                </c:pt>
                <c:pt idx="26">
                  <c:v>322.18</c:v>
                </c:pt>
                <c:pt idx="27">
                  <c:v>331.64</c:v>
                </c:pt>
                <c:pt idx="28">
                  <c:v>326.97000000000003</c:v>
                </c:pt>
                <c:pt idx="29">
                  <c:v>330.8</c:v>
                </c:pt>
                <c:pt idx="30">
                  <c:v>342.93</c:v>
                </c:pt>
                <c:pt idx="31">
                  <c:v>333.32999999999993</c:v>
                </c:pt>
                <c:pt idx="32">
                  <c:v>326.20999999999998</c:v>
                </c:pt>
              </c:numCache>
            </c:numRef>
          </c:val>
          <c:extLst>
            <c:ext xmlns:c16="http://schemas.microsoft.com/office/drawing/2014/chart" uri="{C3380CC4-5D6E-409C-BE32-E72D297353CC}">
              <c16:uniqueId val="{00000000-6243-C345-8CBB-82493C2A4A48}"/>
            </c:ext>
          </c:extLst>
        </c:ser>
        <c:dLbls>
          <c:showLegendKey val="0"/>
          <c:showVal val="0"/>
          <c:showCatName val="0"/>
          <c:showSerName val="0"/>
          <c:showPercent val="0"/>
          <c:showBubbleSize val="0"/>
        </c:dLbls>
        <c:gapWidth val="150"/>
        <c:axId val="59558841"/>
        <c:axId val="53070771"/>
      </c:barChart>
      <c:catAx>
        <c:axId val="595588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3070771"/>
        <c:crosses val="autoZero"/>
        <c:auto val="1"/>
        <c:lblAlgn val="ctr"/>
        <c:lblOffset val="100"/>
        <c:noMultiLvlLbl val="0"/>
      </c:catAx>
      <c:valAx>
        <c:axId val="5307077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Score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55884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Overall PARAKH Mastery by District</a:t>
            </a:r>
          </a:p>
        </c:rich>
      </c:tx>
      <c:overlay val="0"/>
      <c:spPr>
        <a:noFill/>
        <a:ln w="0">
          <a:noFill/>
        </a:ln>
      </c:spPr>
    </c:title>
    <c:autoTitleDeleted val="0"/>
    <c:plotArea>
      <c:layout/>
      <c:barChart>
        <c:barDir val="col"/>
        <c:grouping val="clustered"/>
        <c:varyColors val="0"/>
        <c:ser>
          <c:idx val="0"/>
          <c:order val="0"/>
          <c:tx>
            <c:strRef>
              <c:f>Dashboard_PARAKH!$E$5</c:f>
              <c:strCache>
                <c:ptCount val="1"/>
                <c:pt idx="0">
                  <c:v>Overall PARAKH Avg</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Dashboard_PARAKH!$A$6:$A$38</c:f>
              <c:strCache>
                <c:ptCount val="33"/>
                <c:pt idx="0">
                  <c:v>Ahmedabad</c:v>
                </c:pt>
                <c:pt idx="1">
                  <c:v>Amreli</c:v>
                </c:pt>
                <c:pt idx="2">
                  <c:v>Anand</c:v>
                </c:pt>
                <c:pt idx="3">
                  <c:v>Aravalli</c:v>
                </c:pt>
                <c:pt idx="4">
                  <c:v>Banaskantha</c:v>
                </c:pt>
                <c:pt idx="5">
                  <c:v>Bharuch</c:v>
                </c:pt>
                <c:pt idx="6">
                  <c:v>Bhavnagar</c:v>
                </c:pt>
                <c:pt idx="7">
                  <c:v>Botad</c:v>
                </c:pt>
                <c:pt idx="8">
                  <c:v>Chhota Udepur</c:v>
                </c:pt>
                <c:pt idx="9">
                  <c:v>Dahod</c:v>
                </c:pt>
                <c:pt idx="10">
                  <c:v>Dang</c:v>
                </c:pt>
                <c:pt idx="11">
                  <c:v>Devbhoomi Dwarka</c:v>
                </c:pt>
                <c:pt idx="12">
                  <c:v>Gandhinagar</c:v>
                </c:pt>
                <c:pt idx="13">
                  <c:v>Gir Somnath</c:v>
                </c:pt>
                <c:pt idx="14">
                  <c:v>Jamnagar</c:v>
                </c:pt>
                <c:pt idx="15">
                  <c:v>Junagadh</c:v>
                </c:pt>
                <c:pt idx="16">
                  <c:v>Kutch</c:v>
                </c:pt>
                <c:pt idx="17">
                  <c:v>Kheda</c:v>
                </c:pt>
                <c:pt idx="18">
                  <c:v>Mahisagar</c:v>
                </c:pt>
                <c:pt idx="19">
                  <c:v>Mehsana</c:v>
                </c:pt>
                <c:pt idx="20">
                  <c:v>Morbi</c:v>
                </c:pt>
                <c:pt idx="21">
                  <c:v>Narmada</c:v>
                </c:pt>
                <c:pt idx="22">
                  <c:v>Navsari</c:v>
                </c:pt>
                <c:pt idx="23">
                  <c:v>Panchmahal</c:v>
                </c:pt>
                <c:pt idx="24">
                  <c:v>Patan</c:v>
                </c:pt>
                <c:pt idx="25">
                  <c:v>Porbandar</c:v>
                </c:pt>
                <c:pt idx="26">
                  <c:v>Rajkot</c:v>
                </c:pt>
                <c:pt idx="27">
                  <c:v>Sabarkantha</c:v>
                </c:pt>
                <c:pt idx="28">
                  <c:v>Surat</c:v>
                </c:pt>
                <c:pt idx="29">
                  <c:v>Surendranagar</c:v>
                </c:pt>
                <c:pt idx="30">
                  <c:v>Tapi</c:v>
                </c:pt>
                <c:pt idx="31">
                  <c:v>Vadodara</c:v>
                </c:pt>
                <c:pt idx="32">
                  <c:v>Valsad</c:v>
                </c:pt>
              </c:strCache>
            </c:strRef>
          </c:cat>
          <c:val>
            <c:numRef>
              <c:f>Dashboard_PARAKH!$E$6:$E$38</c:f>
              <c:numCache>
                <c:formatCode>0%</c:formatCode>
                <c:ptCount val="33"/>
                <c:pt idx="0">
                  <c:v>0.46578661616161615</c:v>
                </c:pt>
                <c:pt idx="1">
                  <c:v>0.43662752525252518</c:v>
                </c:pt>
                <c:pt idx="2">
                  <c:v>0.45879797979797976</c:v>
                </c:pt>
                <c:pt idx="3">
                  <c:v>0.42369949494949494</c:v>
                </c:pt>
                <c:pt idx="4">
                  <c:v>0.45053282828282826</c:v>
                </c:pt>
                <c:pt idx="5">
                  <c:v>0.44940151515151516</c:v>
                </c:pt>
                <c:pt idx="6">
                  <c:v>0.48253282828282834</c:v>
                </c:pt>
                <c:pt idx="7">
                  <c:v>0.44933207070707071</c:v>
                </c:pt>
                <c:pt idx="8">
                  <c:v>0.40787373737373739</c:v>
                </c:pt>
                <c:pt idx="9">
                  <c:v>0.45163383838383836</c:v>
                </c:pt>
                <c:pt idx="10">
                  <c:v>0.46561616161616159</c:v>
                </c:pt>
                <c:pt idx="11">
                  <c:v>0.45980429292929292</c:v>
                </c:pt>
                <c:pt idx="12">
                  <c:v>0.50924242424242427</c:v>
                </c:pt>
                <c:pt idx="13">
                  <c:v>0.41321464646464645</c:v>
                </c:pt>
                <c:pt idx="14">
                  <c:v>0.43570580808080805</c:v>
                </c:pt>
                <c:pt idx="15">
                  <c:v>0.47122601010101012</c:v>
                </c:pt>
                <c:pt idx="16">
                  <c:v>0.44307449494949491</c:v>
                </c:pt>
                <c:pt idx="17">
                  <c:v>0.41252146464646461</c:v>
                </c:pt>
                <c:pt idx="18">
                  <c:v>0.45316287878787875</c:v>
                </c:pt>
                <c:pt idx="19">
                  <c:v>0.45659848484848492</c:v>
                </c:pt>
                <c:pt idx="20">
                  <c:v>0.45808838383838385</c:v>
                </c:pt>
                <c:pt idx="21">
                  <c:v>0.4451969696969697</c:v>
                </c:pt>
                <c:pt idx="22">
                  <c:v>0.45888762626262625</c:v>
                </c:pt>
                <c:pt idx="23">
                  <c:v>0.45463888888888898</c:v>
                </c:pt>
                <c:pt idx="24">
                  <c:v>0.44467424242424247</c:v>
                </c:pt>
                <c:pt idx="25">
                  <c:v>0.43335732323232329</c:v>
                </c:pt>
                <c:pt idx="26">
                  <c:v>0.45930050505050507</c:v>
                </c:pt>
                <c:pt idx="27">
                  <c:v>0.466020202020202</c:v>
                </c:pt>
                <c:pt idx="28">
                  <c:v>0.47056439393939398</c:v>
                </c:pt>
                <c:pt idx="29">
                  <c:v>0.47616540404040403</c:v>
                </c:pt>
                <c:pt idx="30">
                  <c:v>0.48749873737373733</c:v>
                </c:pt>
                <c:pt idx="31">
                  <c:v>0.46031818181818185</c:v>
                </c:pt>
                <c:pt idx="32">
                  <c:v>0.46200505050505053</c:v>
                </c:pt>
              </c:numCache>
            </c:numRef>
          </c:val>
          <c:extLst>
            <c:ext xmlns:c16="http://schemas.microsoft.com/office/drawing/2014/chart" uri="{C3380CC4-5D6E-409C-BE32-E72D297353CC}">
              <c16:uniqueId val="{00000000-F54F-7048-B3D2-DD0415BAD900}"/>
            </c:ext>
          </c:extLst>
        </c:ser>
        <c:dLbls>
          <c:showLegendKey val="0"/>
          <c:showVal val="0"/>
          <c:showCatName val="0"/>
          <c:showSerName val="0"/>
          <c:showPercent val="0"/>
          <c:showBubbleSize val="0"/>
        </c:dLbls>
        <c:gapWidth val="150"/>
        <c:axId val="77480665"/>
        <c:axId val="94033090"/>
      </c:barChart>
      <c:catAx>
        <c:axId val="774806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033090"/>
        <c:crosses val="autoZero"/>
        <c:auto val="1"/>
        <c:lblAlgn val="ctr"/>
        <c:lblOffset val="100"/>
        <c:noMultiLvlLbl val="0"/>
      </c:catAx>
      <c:valAx>
        <c:axId val="9403309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Mastery</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48066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Boys vs Girls Average Performance by District</a:t>
            </a:r>
          </a:p>
        </c:rich>
      </c:tx>
      <c:overlay val="0"/>
      <c:spPr>
        <a:noFill/>
        <a:ln w="0">
          <a:noFill/>
        </a:ln>
      </c:spPr>
    </c:title>
    <c:autoTitleDeleted val="0"/>
    <c:plotArea>
      <c:layout/>
      <c:barChart>
        <c:barDir val="col"/>
        <c:grouping val="clustered"/>
        <c:varyColors val="0"/>
        <c:ser>
          <c:idx val="0"/>
          <c:order val="0"/>
          <c:tx>
            <c:strRef>
              <c:f>Dashboard_PARAKH!$B$77</c:f>
              <c:strCache>
                <c:ptCount val="1"/>
                <c:pt idx="0">
                  <c:v>Boys Avg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Dashboard_PARAKH!$A$78:$A$110</c:f>
              <c:strCache>
                <c:ptCount val="33"/>
                <c:pt idx="0">
                  <c:v>Ahmedabad</c:v>
                </c:pt>
                <c:pt idx="1">
                  <c:v>Amreli</c:v>
                </c:pt>
                <c:pt idx="2">
                  <c:v>Anand</c:v>
                </c:pt>
                <c:pt idx="3">
                  <c:v>Aravalli</c:v>
                </c:pt>
                <c:pt idx="4">
                  <c:v>Banaskantha</c:v>
                </c:pt>
                <c:pt idx="5">
                  <c:v>Bharuch</c:v>
                </c:pt>
                <c:pt idx="6">
                  <c:v>Bhavnagar</c:v>
                </c:pt>
                <c:pt idx="7">
                  <c:v>Botad</c:v>
                </c:pt>
                <c:pt idx="8">
                  <c:v>Chhota Udepur</c:v>
                </c:pt>
                <c:pt idx="9">
                  <c:v>Dahod</c:v>
                </c:pt>
                <c:pt idx="10">
                  <c:v>Dang</c:v>
                </c:pt>
                <c:pt idx="11">
                  <c:v>Devbhoomi Dwarka</c:v>
                </c:pt>
                <c:pt idx="12">
                  <c:v>Gandhinagar</c:v>
                </c:pt>
                <c:pt idx="13">
                  <c:v>Gir Somnath</c:v>
                </c:pt>
                <c:pt idx="14">
                  <c:v>Jamnagar</c:v>
                </c:pt>
                <c:pt idx="15">
                  <c:v>Junagadh</c:v>
                </c:pt>
                <c:pt idx="16">
                  <c:v>Kutch</c:v>
                </c:pt>
                <c:pt idx="17">
                  <c:v>Kheda</c:v>
                </c:pt>
                <c:pt idx="18">
                  <c:v>Mahisagar</c:v>
                </c:pt>
                <c:pt idx="19">
                  <c:v>Mehsana</c:v>
                </c:pt>
                <c:pt idx="20">
                  <c:v>Morbi</c:v>
                </c:pt>
                <c:pt idx="21">
                  <c:v>Narmada</c:v>
                </c:pt>
                <c:pt idx="22">
                  <c:v>Navsari</c:v>
                </c:pt>
                <c:pt idx="23">
                  <c:v>Panchmahal</c:v>
                </c:pt>
                <c:pt idx="24">
                  <c:v>Patan</c:v>
                </c:pt>
                <c:pt idx="25">
                  <c:v>Porbandar</c:v>
                </c:pt>
                <c:pt idx="26">
                  <c:v>Rajkot</c:v>
                </c:pt>
                <c:pt idx="27">
                  <c:v>Sabarkantha</c:v>
                </c:pt>
                <c:pt idx="28">
                  <c:v>Surat</c:v>
                </c:pt>
                <c:pt idx="29">
                  <c:v>Surendranagar</c:v>
                </c:pt>
                <c:pt idx="30">
                  <c:v>Tapi</c:v>
                </c:pt>
                <c:pt idx="31">
                  <c:v>Vadodara</c:v>
                </c:pt>
                <c:pt idx="32">
                  <c:v>Valsad</c:v>
                </c:pt>
              </c:strCache>
            </c:strRef>
          </c:cat>
          <c:val>
            <c:numRef>
              <c:f>Dashboard_PARAKH!$B$78:$B$110</c:f>
              <c:numCache>
                <c:formatCode>0%</c:formatCode>
                <c:ptCount val="33"/>
                <c:pt idx="0">
                  <c:v>0.44222222222222224</c:v>
                </c:pt>
                <c:pt idx="1">
                  <c:v>0.41</c:v>
                </c:pt>
                <c:pt idx="2">
                  <c:v>0.43666666666666665</c:v>
                </c:pt>
                <c:pt idx="3">
                  <c:v>0.40777777777777774</c:v>
                </c:pt>
                <c:pt idx="4">
                  <c:v>0.44111111111111112</c:v>
                </c:pt>
                <c:pt idx="5">
                  <c:v>0.4211111111111111</c:v>
                </c:pt>
                <c:pt idx="6">
                  <c:v>0.46444444444444444</c:v>
                </c:pt>
                <c:pt idx="7">
                  <c:v>0.41888888888888887</c:v>
                </c:pt>
                <c:pt idx="8">
                  <c:v>0.40111111111111103</c:v>
                </c:pt>
                <c:pt idx="9">
                  <c:v>0.41666666666666669</c:v>
                </c:pt>
                <c:pt idx="10">
                  <c:v>0.42555555555555563</c:v>
                </c:pt>
                <c:pt idx="11">
                  <c:v>0.45444444444444443</c:v>
                </c:pt>
                <c:pt idx="12">
                  <c:v>0.48888888888888893</c:v>
                </c:pt>
                <c:pt idx="13">
                  <c:v>0.40444444444444438</c:v>
                </c:pt>
                <c:pt idx="14">
                  <c:v>0.42000000000000004</c:v>
                </c:pt>
                <c:pt idx="15">
                  <c:v>0.46333333333333332</c:v>
                </c:pt>
                <c:pt idx="16">
                  <c:v>0.43111111111111111</c:v>
                </c:pt>
                <c:pt idx="17">
                  <c:v>0.3855555555555556</c:v>
                </c:pt>
                <c:pt idx="18">
                  <c:v>0.42444444444444446</c:v>
                </c:pt>
                <c:pt idx="19">
                  <c:v>0.43777777777777777</c:v>
                </c:pt>
                <c:pt idx="20">
                  <c:v>0.44000000000000006</c:v>
                </c:pt>
                <c:pt idx="21">
                  <c:v>0.42555555555555558</c:v>
                </c:pt>
                <c:pt idx="22">
                  <c:v>0.44</c:v>
                </c:pt>
                <c:pt idx="23">
                  <c:v>0.44000000000000006</c:v>
                </c:pt>
                <c:pt idx="24">
                  <c:v>0.42666666666666669</c:v>
                </c:pt>
                <c:pt idx="25">
                  <c:v>0.40777777777777774</c:v>
                </c:pt>
                <c:pt idx="26">
                  <c:v>0.4466666666666666</c:v>
                </c:pt>
                <c:pt idx="27">
                  <c:v>0.44222222222222218</c:v>
                </c:pt>
                <c:pt idx="28">
                  <c:v>0.46666666666666667</c:v>
                </c:pt>
                <c:pt idx="29">
                  <c:v>0.45111111111111118</c:v>
                </c:pt>
                <c:pt idx="30">
                  <c:v>0.45444444444444443</c:v>
                </c:pt>
                <c:pt idx="31">
                  <c:v>0.44555555555555554</c:v>
                </c:pt>
                <c:pt idx="32">
                  <c:v>0.43666666666666665</c:v>
                </c:pt>
              </c:numCache>
            </c:numRef>
          </c:val>
          <c:extLst>
            <c:ext xmlns:c16="http://schemas.microsoft.com/office/drawing/2014/chart" uri="{C3380CC4-5D6E-409C-BE32-E72D297353CC}">
              <c16:uniqueId val="{00000000-11AE-8E4F-B3B2-97F285D42677}"/>
            </c:ext>
          </c:extLst>
        </c:ser>
        <c:ser>
          <c:idx val="1"/>
          <c:order val="1"/>
          <c:tx>
            <c:strRef>
              <c:f>Dashboard_PARAKH!$C$77</c:f>
              <c:strCache>
                <c:ptCount val="1"/>
                <c:pt idx="0">
                  <c:v>Girls Avg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Dashboard_PARAKH!$A$78:$A$110</c:f>
              <c:strCache>
                <c:ptCount val="33"/>
                <c:pt idx="0">
                  <c:v>Ahmedabad</c:v>
                </c:pt>
                <c:pt idx="1">
                  <c:v>Amreli</c:v>
                </c:pt>
                <c:pt idx="2">
                  <c:v>Anand</c:v>
                </c:pt>
                <c:pt idx="3">
                  <c:v>Aravalli</c:v>
                </c:pt>
                <c:pt idx="4">
                  <c:v>Banaskantha</c:v>
                </c:pt>
                <c:pt idx="5">
                  <c:v>Bharuch</c:v>
                </c:pt>
                <c:pt idx="6">
                  <c:v>Bhavnagar</c:v>
                </c:pt>
                <c:pt idx="7">
                  <c:v>Botad</c:v>
                </c:pt>
                <c:pt idx="8">
                  <c:v>Chhota Udepur</c:v>
                </c:pt>
                <c:pt idx="9">
                  <c:v>Dahod</c:v>
                </c:pt>
                <c:pt idx="10">
                  <c:v>Dang</c:v>
                </c:pt>
                <c:pt idx="11">
                  <c:v>Devbhoomi Dwarka</c:v>
                </c:pt>
                <c:pt idx="12">
                  <c:v>Gandhinagar</c:v>
                </c:pt>
                <c:pt idx="13">
                  <c:v>Gir Somnath</c:v>
                </c:pt>
                <c:pt idx="14">
                  <c:v>Jamnagar</c:v>
                </c:pt>
                <c:pt idx="15">
                  <c:v>Junagadh</c:v>
                </c:pt>
                <c:pt idx="16">
                  <c:v>Kutch</c:v>
                </c:pt>
                <c:pt idx="17">
                  <c:v>Kheda</c:v>
                </c:pt>
                <c:pt idx="18">
                  <c:v>Mahisagar</c:v>
                </c:pt>
                <c:pt idx="19">
                  <c:v>Mehsana</c:v>
                </c:pt>
                <c:pt idx="20">
                  <c:v>Morbi</c:v>
                </c:pt>
                <c:pt idx="21">
                  <c:v>Narmada</c:v>
                </c:pt>
                <c:pt idx="22">
                  <c:v>Navsari</c:v>
                </c:pt>
                <c:pt idx="23">
                  <c:v>Panchmahal</c:v>
                </c:pt>
                <c:pt idx="24">
                  <c:v>Patan</c:v>
                </c:pt>
                <c:pt idx="25">
                  <c:v>Porbandar</c:v>
                </c:pt>
                <c:pt idx="26">
                  <c:v>Rajkot</c:v>
                </c:pt>
                <c:pt idx="27">
                  <c:v>Sabarkantha</c:v>
                </c:pt>
                <c:pt idx="28">
                  <c:v>Surat</c:v>
                </c:pt>
                <c:pt idx="29">
                  <c:v>Surendranagar</c:v>
                </c:pt>
                <c:pt idx="30">
                  <c:v>Tapi</c:v>
                </c:pt>
                <c:pt idx="31">
                  <c:v>Vadodara</c:v>
                </c:pt>
                <c:pt idx="32">
                  <c:v>Valsad</c:v>
                </c:pt>
              </c:strCache>
            </c:strRef>
          </c:cat>
          <c:val>
            <c:numRef>
              <c:f>Dashboard_PARAKH!$C$78:$C$110</c:f>
              <c:numCache>
                <c:formatCode>0%</c:formatCode>
                <c:ptCount val="33"/>
                <c:pt idx="0">
                  <c:v>0.46444444444444444</c:v>
                </c:pt>
                <c:pt idx="1">
                  <c:v>0.44333333333333336</c:v>
                </c:pt>
                <c:pt idx="2">
                  <c:v>0.46333333333333343</c:v>
                </c:pt>
                <c:pt idx="3">
                  <c:v>0.42888888888888893</c:v>
                </c:pt>
                <c:pt idx="4">
                  <c:v>0.45222222222222225</c:v>
                </c:pt>
                <c:pt idx="5">
                  <c:v>0.4588888888888889</c:v>
                </c:pt>
                <c:pt idx="6">
                  <c:v>0.48000000000000004</c:v>
                </c:pt>
                <c:pt idx="7">
                  <c:v>0.46666666666666667</c:v>
                </c:pt>
                <c:pt idx="8">
                  <c:v>0.4044444444444445</c:v>
                </c:pt>
                <c:pt idx="9">
                  <c:v>0.43111111111111111</c:v>
                </c:pt>
                <c:pt idx="10">
                  <c:v>0.45111111111111107</c:v>
                </c:pt>
                <c:pt idx="11">
                  <c:v>0.48888888888888882</c:v>
                </c:pt>
                <c:pt idx="12">
                  <c:v>0.51888888888888884</c:v>
                </c:pt>
                <c:pt idx="13">
                  <c:v>0.41444444444444445</c:v>
                </c:pt>
                <c:pt idx="14">
                  <c:v>0.46222222222222226</c:v>
                </c:pt>
                <c:pt idx="15">
                  <c:v>0.46555555555555561</c:v>
                </c:pt>
                <c:pt idx="16">
                  <c:v>0.46777777777777779</c:v>
                </c:pt>
                <c:pt idx="17">
                  <c:v>0.43000000000000005</c:v>
                </c:pt>
                <c:pt idx="18">
                  <c:v>0.43888888888888888</c:v>
                </c:pt>
                <c:pt idx="19">
                  <c:v>0.47777777777777775</c:v>
                </c:pt>
                <c:pt idx="20">
                  <c:v>0.46222222222222226</c:v>
                </c:pt>
                <c:pt idx="21">
                  <c:v>0.44222222222222229</c:v>
                </c:pt>
                <c:pt idx="22">
                  <c:v>0.46666666666666667</c:v>
                </c:pt>
                <c:pt idx="23">
                  <c:v>0.44777777777777783</c:v>
                </c:pt>
                <c:pt idx="24">
                  <c:v>0.45333333333333337</c:v>
                </c:pt>
                <c:pt idx="25">
                  <c:v>0.45333333333333337</c:v>
                </c:pt>
                <c:pt idx="26">
                  <c:v>0.46111111111111114</c:v>
                </c:pt>
                <c:pt idx="27">
                  <c:v>0.46444444444444449</c:v>
                </c:pt>
                <c:pt idx="28">
                  <c:v>0.47444444444444439</c:v>
                </c:pt>
                <c:pt idx="29">
                  <c:v>0.47111111111111115</c:v>
                </c:pt>
                <c:pt idx="30">
                  <c:v>0.49555555555555564</c:v>
                </c:pt>
                <c:pt idx="31">
                  <c:v>0.47777777777777775</c:v>
                </c:pt>
                <c:pt idx="32">
                  <c:v>0.46666666666666667</c:v>
                </c:pt>
              </c:numCache>
            </c:numRef>
          </c:val>
          <c:extLst>
            <c:ext xmlns:c16="http://schemas.microsoft.com/office/drawing/2014/chart" uri="{C3380CC4-5D6E-409C-BE32-E72D297353CC}">
              <c16:uniqueId val="{00000001-11AE-8E4F-B3B2-97F285D42677}"/>
            </c:ext>
          </c:extLst>
        </c:ser>
        <c:dLbls>
          <c:showLegendKey val="0"/>
          <c:showVal val="0"/>
          <c:showCatName val="0"/>
          <c:showSerName val="0"/>
          <c:showPercent val="0"/>
          <c:showBubbleSize val="0"/>
        </c:dLbls>
        <c:gapWidth val="150"/>
        <c:axId val="72943851"/>
        <c:axId val="31150379"/>
      </c:barChart>
      <c:catAx>
        <c:axId val="729438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150379"/>
        <c:crosses val="autoZero"/>
        <c:auto val="1"/>
        <c:lblAlgn val="ctr"/>
        <c:lblOffset val="100"/>
        <c:noMultiLvlLbl val="0"/>
      </c:catAx>
      <c:valAx>
        <c:axId val="3115037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Mastery</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94385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Performance by Social Group, All Districts</a:t>
            </a:r>
          </a:p>
        </c:rich>
      </c:tx>
      <c:overlay val="0"/>
      <c:spPr>
        <a:noFill/>
        <a:ln w="0">
          <a:noFill/>
        </a:ln>
      </c:spPr>
    </c:title>
    <c:autoTitleDeleted val="0"/>
    <c:plotArea>
      <c:layout/>
      <c:barChart>
        <c:barDir val="col"/>
        <c:grouping val="clustered"/>
        <c:varyColors val="0"/>
        <c:ser>
          <c:idx val="0"/>
          <c:order val="0"/>
          <c:tx>
            <c:strRef>
              <c:f>Dashboard_PARAKH!$B$185</c:f>
              <c:strCache>
                <c:ptCount val="1"/>
                <c:pt idx="0">
                  <c:v>SC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Dashboard_PARAKH!$A$186:$A$218</c:f>
              <c:strCache>
                <c:ptCount val="33"/>
                <c:pt idx="0">
                  <c:v>Ahmedabad</c:v>
                </c:pt>
                <c:pt idx="1">
                  <c:v>Amreli</c:v>
                </c:pt>
                <c:pt idx="2">
                  <c:v>Anand</c:v>
                </c:pt>
                <c:pt idx="3">
                  <c:v>Aravalli</c:v>
                </c:pt>
                <c:pt idx="4">
                  <c:v>Banaskantha</c:v>
                </c:pt>
                <c:pt idx="5">
                  <c:v>Bharuch</c:v>
                </c:pt>
                <c:pt idx="6">
                  <c:v>Bhavnagar</c:v>
                </c:pt>
                <c:pt idx="7">
                  <c:v>Botad</c:v>
                </c:pt>
                <c:pt idx="8">
                  <c:v>Chhota Udepur</c:v>
                </c:pt>
                <c:pt idx="9">
                  <c:v>Dahod</c:v>
                </c:pt>
                <c:pt idx="10">
                  <c:v>Dang</c:v>
                </c:pt>
                <c:pt idx="11">
                  <c:v>Devbhoomi Dwarka</c:v>
                </c:pt>
                <c:pt idx="12">
                  <c:v>Gandhinagar</c:v>
                </c:pt>
                <c:pt idx="13">
                  <c:v>Gir Somnath</c:v>
                </c:pt>
                <c:pt idx="14">
                  <c:v>Jamnagar</c:v>
                </c:pt>
                <c:pt idx="15">
                  <c:v>Junagadh</c:v>
                </c:pt>
                <c:pt idx="16">
                  <c:v>Kutch</c:v>
                </c:pt>
                <c:pt idx="17">
                  <c:v>Kheda</c:v>
                </c:pt>
                <c:pt idx="18">
                  <c:v>Mahisagar</c:v>
                </c:pt>
                <c:pt idx="19">
                  <c:v>Mehsana</c:v>
                </c:pt>
                <c:pt idx="20">
                  <c:v>Morbi</c:v>
                </c:pt>
                <c:pt idx="21">
                  <c:v>Narmada</c:v>
                </c:pt>
                <c:pt idx="22">
                  <c:v>Navsari</c:v>
                </c:pt>
                <c:pt idx="23">
                  <c:v>Panchmahal</c:v>
                </c:pt>
                <c:pt idx="24">
                  <c:v>Patan</c:v>
                </c:pt>
                <c:pt idx="25">
                  <c:v>Porbandar</c:v>
                </c:pt>
                <c:pt idx="26">
                  <c:v>Rajkot</c:v>
                </c:pt>
                <c:pt idx="27">
                  <c:v>Sabarkantha</c:v>
                </c:pt>
                <c:pt idx="28">
                  <c:v>Surat</c:v>
                </c:pt>
                <c:pt idx="29">
                  <c:v>Surendranagar</c:v>
                </c:pt>
                <c:pt idx="30">
                  <c:v>Tapi</c:v>
                </c:pt>
                <c:pt idx="31">
                  <c:v>Vadodara</c:v>
                </c:pt>
                <c:pt idx="32">
                  <c:v>Valsad</c:v>
                </c:pt>
              </c:strCache>
            </c:strRef>
          </c:cat>
          <c:val>
            <c:numRef>
              <c:f>Dashboard_PARAKH!$B$186:$B$218</c:f>
              <c:numCache>
                <c:formatCode>0%</c:formatCode>
                <c:ptCount val="33"/>
                <c:pt idx="0">
                  <c:v>0.44555555555555554</c:v>
                </c:pt>
                <c:pt idx="1">
                  <c:v>0.45222222222222214</c:v>
                </c:pt>
                <c:pt idx="2">
                  <c:v>0.46888888888888886</c:v>
                </c:pt>
                <c:pt idx="3">
                  <c:v>0.40666666666666657</c:v>
                </c:pt>
                <c:pt idx="4">
                  <c:v>0.44333333333333336</c:v>
                </c:pt>
                <c:pt idx="5">
                  <c:v>0.47333333333333333</c:v>
                </c:pt>
                <c:pt idx="6">
                  <c:v>0.47444444444444439</c:v>
                </c:pt>
                <c:pt idx="7">
                  <c:v>0.44222222222222224</c:v>
                </c:pt>
                <c:pt idx="8">
                  <c:v>0.42111111111111116</c:v>
                </c:pt>
                <c:pt idx="9">
                  <c:v>0.40666666666666668</c:v>
                </c:pt>
                <c:pt idx="10">
                  <c:v>0.38</c:v>
                </c:pt>
                <c:pt idx="11">
                  <c:v>0.45222222222222214</c:v>
                </c:pt>
                <c:pt idx="12">
                  <c:v>0.50444444444444447</c:v>
                </c:pt>
                <c:pt idx="13">
                  <c:v>0.47111111111111115</c:v>
                </c:pt>
                <c:pt idx="14">
                  <c:v>0.42333333333333334</c:v>
                </c:pt>
                <c:pt idx="15">
                  <c:v>0.44111111111111112</c:v>
                </c:pt>
                <c:pt idx="16">
                  <c:v>0.43444444444444447</c:v>
                </c:pt>
                <c:pt idx="17">
                  <c:v>0.45666666666666672</c:v>
                </c:pt>
                <c:pt idx="18">
                  <c:v>0.44888888888888889</c:v>
                </c:pt>
                <c:pt idx="19">
                  <c:v>0.44888888888888889</c:v>
                </c:pt>
                <c:pt idx="20">
                  <c:v>0.43111111111111106</c:v>
                </c:pt>
                <c:pt idx="21">
                  <c:v>0.41888888888888887</c:v>
                </c:pt>
                <c:pt idx="22">
                  <c:v>0.48222222222222233</c:v>
                </c:pt>
                <c:pt idx="23">
                  <c:v>0.43555555555555558</c:v>
                </c:pt>
                <c:pt idx="24">
                  <c:v>0.45555555555555549</c:v>
                </c:pt>
                <c:pt idx="25">
                  <c:v>0.43333333333333335</c:v>
                </c:pt>
                <c:pt idx="26">
                  <c:v>0.44666666666666671</c:v>
                </c:pt>
                <c:pt idx="27">
                  <c:v>0.42333333333333328</c:v>
                </c:pt>
                <c:pt idx="28">
                  <c:v>0.46333333333333332</c:v>
                </c:pt>
                <c:pt idx="29">
                  <c:v>0.48555555555555557</c:v>
                </c:pt>
                <c:pt idx="30">
                  <c:v>0.43222222222222223</c:v>
                </c:pt>
                <c:pt idx="31">
                  <c:v>0.46333333333333332</c:v>
                </c:pt>
                <c:pt idx="32">
                  <c:v>0.47777777777777775</c:v>
                </c:pt>
              </c:numCache>
            </c:numRef>
          </c:val>
          <c:extLst>
            <c:ext xmlns:c16="http://schemas.microsoft.com/office/drawing/2014/chart" uri="{C3380CC4-5D6E-409C-BE32-E72D297353CC}">
              <c16:uniqueId val="{00000000-F250-7740-B34D-CAE7550B862B}"/>
            </c:ext>
          </c:extLst>
        </c:ser>
        <c:ser>
          <c:idx val="1"/>
          <c:order val="1"/>
          <c:tx>
            <c:strRef>
              <c:f>Dashboard_PARAKH!$C$185</c:f>
              <c:strCache>
                <c:ptCount val="1"/>
                <c:pt idx="0">
                  <c:v>ST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Dashboard_PARAKH!$A$186:$A$218</c:f>
              <c:strCache>
                <c:ptCount val="33"/>
                <c:pt idx="0">
                  <c:v>Ahmedabad</c:v>
                </c:pt>
                <c:pt idx="1">
                  <c:v>Amreli</c:v>
                </c:pt>
                <c:pt idx="2">
                  <c:v>Anand</c:v>
                </c:pt>
                <c:pt idx="3">
                  <c:v>Aravalli</c:v>
                </c:pt>
                <c:pt idx="4">
                  <c:v>Banaskantha</c:v>
                </c:pt>
                <c:pt idx="5">
                  <c:v>Bharuch</c:v>
                </c:pt>
                <c:pt idx="6">
                  <c:v>Bhavnagar</c:v>
                </c:pt>
                <c:pt idx="7">
                  <c:v>Botad</c:v>
                </c:pt>
                <c:pt idx="8">
                  <c:v>Chhota Udepur</c:v>
                </c:pt>
                <c:pt idx="9">
                  <c:v>Dahod</c:v>
                </c:pt>
                <c:pt idx="10">
                  <c:v>Dang</c:v>
                </c:pt>
                <c:pt idx="11">
                  <c:v>Devbhoomi Dwarka</c:v>
                </c:pt>
                <c:pt idx="12">
                  <c:v>Gandhinagar</c:v>
                </c:pt>
                <c:pt idx="13">
                  <c:v>Gir Somnath</c:v>
                </c:pt>
                <c:pt idx="14">
                  <c:v>Jamnagar</c:v>
                </c:pt>
                <c:pt idx="15">
                  <c:v>Junagadh</c:v>
                </c:pt>
                <c:pt idx="16">
                  <c:v>Kutch</c:v>
                </c:pt>
                <c:pt idx="17">
                  <c:v>Kheda</c:v>
                </c:pt>
                <c:pt idx="18">
                  <c:v>Mahisagar</c:v>
                </c:pt>
                <c:pt idx="19">
                  <c:v>Mehsana</c:v>
                </c:pt>
                <c:pt idx="20">
                  <c:v>Morbi</c:v>
                </c:pt>
                <c:pt idx="21">
                  <c:v>Narmada</c:v>
                </c:pt>
                <c:pt idx="22">
                  <c:v>Navsari</c:v>
                </c:pt>
                <c:pt idx="23">
                  <c:v>Panchmahal</c:v>
                </c:pt>
                <c:pt idx="24">
                  <c:v>Patan</c:v>
                </c:pt>
                <c:pt idx="25">
                  <c:v>Porbandar</c:v>
                </c:pt>
                <c:pt idx="26">
                  <c:v>Rajkot</c:v>
                </c:pt>
                <c:pt idx="27">
                  <c:v>Sabarkantha</c:v>
                </c:pt>
                <c:pt idx="28">
                  <c:v>Surat</c:v>
                </c:pt>
                <c:pt idx="29">
                  <c:v>Surendranagar</c:v>
                </c:pt>
                <c:pt idx="30">
                  <c:v>Tapi</c:v>
                </c:pt>
                <c:pt idx="31">
                  <c:v>Vadodara</c:v>
                </c:pt>
                <c:pt idx="32">
                  <c:v>Valsad</c:v>
                </c:pt>
              </c:strCache>
            </c:strRef>
          </c:cat>
          <c:val>
            <c:numRef>
              <c:f>Dashboard_PARAKH!$C$186:$C$218</c:f>
              <c:numCache>
                <c:formatCode>0%</c:formatCode>
                <c:ptCount val="33"/>
                <c:pt idx="0">
                  <c:v>0.41666666666666669</c:v>
                </c:pt>
                <c:pt idx="1">
                  <c:v>0.41222222222222221</c:v>
                </c:pt>
                <c:pt idx="2">
                  <c:v>0.44333333333333336</c:v>
                </c:pt>
                <c:pt idx="3">
                  <c:v>0.41000000000000009</c:v>
                </c:pt>
                <c:pt idx="4">
                  <c:v>0.35222222222222221</c:v>
                </c:pt>
                <c:pt idx="5">
                  <c:v>0.39444444444444449</c:v>
                </c:pt>
                <c:pt idx="6">
                  <c:v>0.37777777777777777</c:v>
                </c:pt>
                <c:pt idx="7">
                  <c:v>0.41444444444444445</c:v>
                </c:pt>
                <c:pt idx="8">
                  <c:v>0.31444444444444442</c:v>
                </c:pt>
                <c:pt idx="9">
                  <c:v>0.40888888888888891</c:v>
                </c:pt>
                <c:pt idx="10">
                  <c:v>0.44000000000000006</c:v>
                </c:pt>
                <c:pt idx="11">
                  <c:v>0.41222222222222216</c:v>
                </c:pt>
                <c:pt idx="12">
                  <c:v>0.46111111111111114</c:v>
                </c:pt>
                <c:pt idx="13">
                  <c:v>0.38555555555555554</c:v>
                </c:pt>
                <c:pt idx="14">
                  <c:v>0.40555555555555561</c:v>
                </c:pt>
                <c:pt idx="15">
                  <c:v>0.42333333333333334</c:v>
                </c:pt>
                <c:pt idx="16">
                  <c:v>0.40888888888888891</c:v>
                </c:pt>
                <c:pt idx="17">
                  <c:v>0.35444444444444445</c:v>
                </c:pt>
                <c:pt idx="18">
                  <c:v>0.42777777777777781</c:v>
                </c:pt>
                <c:pt idx="19">
                  <c:v>0.41</c:v>
                </c:pt>
                <c:pt idx="20">
                  <c:v>0.38777777777777778</c:v>
                </c:pt>
                <c:pt idx="21">
                  <c:v>0.4211111111111111</c:v>
                </c:pt>
                <c:pt idx="22">
                  <c:v>0.42</c:v>
                </c:pt>
                <c:pt idx="23">
                  <c:v>0.40666666666666668</c:v>
                </c:pt>
                <c:pt idx="24">
                  <c:v>0.36222222222222222</c:v>
                </c:pt>
                <c:pt idx="25">
                  <c:v>0.37111111111111111</c:v>
                </c:pt>
                <c:pt idx="26">
                  <c:v>0.38777777777777778</c:v>
                </c:pt>
                <c:pt idx="27">
                  <c:v>0.40111111111111108</c:v>
                </c:pt>
                <c:pt idx="28">
                  <c:v>0.42333333333333334</c:v>
                </c:pt>
                <c:pt idx="29">
                  <c:v>0.38888888888888895</c:v>
                </c:pt>
                <c:pt idx="30">
                  <c:v>0.46111111111111103</c:v>
                </c:pt>
                <c:pt idx="31">
                  <c:v>0.41666666666666663</c:v>
                </c:pt>
                <c:pt idx="32">
                  <c:v>0.42222222222222222</c:v>
                </c:pt>
              </c:numCache>
            </c:numRef>
          </c:val>
          <c:extLst>
            <c:ext xmlns:c16="http://schemas.microsoft.com/office/drawing/2014/chart" uri="{C3380CC4-5D6E-409C-BE32-E72D297353CC}">
              <c16:uniqueId val="{00000001-F250-7740-B34D-CAE7550B862B}"/>
            </c:ext>
          </c:extLst>
        </c:ser>
        <c:ser>
          <c:idx val="2"/>
          <c:order val="2"/>
          <c:tx>
            <c:strRef>
              <c:f>Dashboard_PARAKH!$D$185</c:f>
              <c:strCache>
                <c:ptCount val="1"/>
                <c:pt idx="0">
                  <c:v>OBC (%)</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Dashboard_PARAKH!$A$186:$A$218</c:f>
              <c:strCache>
                <c:ptCount val="33"/>
                <c:pt idx="0">
                  <c:v>Ahmedabad</c:v>
                </c:pt>
                <c:pt idx="1">
                  <c:v>Amreli</c:v>
                </c:pt>
                <c:pt idx="2">
                  <c:v>Anand</c:v>
                </c:pt>
                <c:pt idx="3">
                  <c:v>Aravalli</c:v>
                </c:pt>
                <c:pt idx="4">
                  <c:v>Banaskantha</c:v>
                </c:pt>
                <c:pt idx="5">
                  <c:v>Bharuch</c:v>
                </c:pt>
                <c:pt idx="6">
                  <c:v>Bhavnagar</c:v>
                </c:pt>
                <c:pt idx="7">
                  <c:v>Botad</c:v>
                </c:pt>
                <c:pt idx="8">
                  <c:v>Chhota Udepur</c:v>
                </c:pt>
                <c:pt idx="9">
                  <c:v>Dahod</c:v>
                </c:pt>
                <c:pt idx="10">
                  <c:v>Dang</c:v>
                </c:pt>
                <c:pt idx="11">
                  <c:v>Devbhoomi Dwarka</c:v>
                </c:pt>
                <c:pt idx="12">
                  <c:v>Gandhinagar</c:v>
                </c:pt>
                <c:pt idx="13">
                  <c:v>Gir Somnath</c:v>
                </c:pt>
                <c:pt idx="14">
                  <c:v>Jamnagar</c:v>
                </c:pt>
                <c:pt idx="15">
                  <c:v>Junagadh</c:v>
                </c:pt>
                <c:pt idx="16">
                  <c:v>Kutch</c:v>
                </c:pt>
                <c:pt idx="17">
                  <c:v>Kheda</c:v>
                </c:pt>
                <c:pt idx="18">
                  <c:v>Mahisagar</c:v>
                </c:pt>
                <c:pt idx="19">
                  <c:v>Mehsana</c:v>
                </c:pt>
                <c:pt idx="20">
                  <c:v>Morbi</c:v>
                </c:pt>
                <c:pt idx="21">
                  <c:v>Narmada</c:v>
                </c:pt>
                <c:pt idx="22">
                  <c:v>Navsari</c:v>
                </c:pt>
                <c:pt idx="23">
                  <c:v>Panchmahal</c:v>
                </c:pt>
                <c:pt idx="24">
                  <c:v>Patan</c:v>
                </c:pt>
                <c:pt idx="25">
                  <c:v>Porbandar</c:v>
                </c:pt>
                <c:pt idx="26">
                  <c:v>Rajkot</c:v>
                </c:pt>
                <c:pt idx="27">
                  <c:v>Sabarkantha</c:v>
                </c:pt>
                <c:pt idx="28">
                  <c:v>Surat</c:v>
                </c:pt>
                <c:pt idx="29">
                  <c:v>Surendranagar</c:v>
                </c:pt>
                <c:pt idx="30">
                  <c:v>Tapi</c:v>
                </c:pt>
                <c:pt idx="31">
                  <c:v>Vadodara</c:v>
                </c:pt>
                <c:pt idx="32">
                  <c:v>Valsad</c:v>
                </c:pt>
              </c:strCache>
            </c:strRef>
          </c:cat>
          <c:val>
            <c:numRef>
              <c:f>Dashboard_PARAKH!$D$186:$D$218</c:f>
              <c:numCache>
                <c:formatCode>0%</c:formatCode>
                <c:ptCount val="33"/>
                <c:pt idx="0">
                  <c:v>0.44222222222222218</c:v>
                </c:pt>
                <c:pt idx="1">
                  <c:v>0.41000000000000003</c:v>
                </c:pt>
                <c:pt idx="2">
                  <c:v>0.43222222222222223</c:v>
                </c:pt>
                <c:pt idx="3">
                  <c:v>0.4022222222222222</c:v>
                </c:pt>
                <c:pt idx="4">
                  <c:v>0.44555555555555554</c:v>
                </c:pt>
                <c:pt idx="5">
                  <c:v>0.4588888888888889</c:v>
                </c:pt>
                <c:pt idx="6">
                  <c:v>0.45555555555555549</c:v>
                </c:pt>
                <c:pt idx="7">
                  <c:v>0.43444444444444441</c:v>
                </c:pt>
                <c:pt idx="8">
                  <c:v>0.47142857142857142</c:v>
                </c:pt>
                <c:pt idx="9">
                  <c:v>0.43555555555555558</c:v>
                </c:pt>
                <c:pt idx="10">
                  <c:v>0.4088888888888888</c:v>
                </c:pt>
                <c:pt idx="11">
                  <c:v>0.47555555555555556</c:v>
                </c:pt>
                <c:pt idx="12">
                  <c:v>0.46222222222222226</c:v>
                </c:pt>
                <c:pt idx="13">
                  <c:v>0.39555555555555549</c:v>
                </c:pt>
                <c:pt idx="14">
                  <c:v>0.41333333333333333</c:v>
                </c:pt>
                <c:pt idx="15">
                  <c:v>0.45555555555555549</c:v>
                </c:pt>
                <c:pt idx="16">
                  <c:v>0.41333333333333333</c:v>
                </c:pt>
                <c:pt idx="17">
                  <c:v>0.39222222222222219</c:v>
                </c:pt>
                <c:pt idx="18">
                  <c:v>0.42999999999999994</c:v>
                </c:pt>
                <c:pt idx="19">
                  <c:v>0.43555555555555553</c:v>
                </c:pt>
                <c:pt idx="20">
                  <c:v>0.43333333333333329</c:v>
                </c:pt>
                <c:pt idx="21">
                  <c:v>0.48888888888888882</c:v>
                </c:pt>
                <c:pt idx="22">
                  <c:v>0.5</c:v>
                </c:pt>
                <c:pt idx="23">
                  <c:v>0.45222222222222214</c:v>
                </c:pt>
                <c:pt idx="24">
                  <c:v>0.41666666666666669</c:v>
                </c:pt>
                <c:pt idx="25">
                  <c:v>0.42777777777777781</c:v>
                </c:pt>
                <c:pt idx="26">
                  <c:v>0.42333333333333334</c:v>
                </c:pt>
                <c:pt idx="27">
                  <c:v>0.46333333333333332</c:v>
                </c:pt>
                <c:pt idx="28">
                  <c:v>0.48888888888888882</c:v>
                </c:pt>
                <c:pt idx="29">
                  <c:v>0.44777777777777783</c:v>
                </c:pt>
                <c:pt idx="30">
                  <c:v>0.52444444444444438</c:v>
                </c:pt>
                <c:pt idx="31">
                  <c:v>0.44444444444444442</c:v>
                </c:pt>
                <c:pt idx="32">
                  <c:v>0.52</c:v>
                </c:pt>
              </c:numCache>
            </c:numRef>
          </c:val>
          <c:extLst>
            <c:ext xmlns:c16="http://schemas.microsoft.com/office/drawing/2014/chart" uri="{C3380CC4-5D6E-409C-BE32-E72D297353CC}">
              <c16:uniqueId val="{00000002-F250-7740-B34D-CAE7550B862B}"/>
            </c:ext>
          </c:extLst>
        </c:ser>
        <c:ser>
          <c:idx val="3"/>
          <c:order val="3"/>
          <c:tx>
            <c:strRef>
              <c:f>Dashboard_PARAKH!$E$185</c:f>
              <c:strCache>
                <c:ptCount val="1"/>
                <c:pt idx="0">
                  <c:v>General/Others (%)</c:v>
                </c:pt>
              </c:strCache>
            </c:strRef>
          </c:tx>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Dashboard_PARAKH!$A$186:$A$218</c:f>
              <c:strCache>
                <c:ptCount val="33"/>
                <c:pt idx="0">
                  <c:v>Ahmedabad</c:v>
                </c:pt>
                <c:pt idx="1">
                  <c:v>Amreli</c:v>
                </c:pt>
                <c:pt idx="2">
                  <c:v>Anand</c:v>
                </c:pt>
                <c:pt idx="3">
                  <c:v>Aravalli</c:v>
                </c:pt>
                <c:pt idx="4">
                  <c:v>Banaskantha</c:v>
                </c:pt>
                <c:pt idx="5">
                  <c:v>Bharuch</c:v>
                </c:pt>
                <c:pt idx="6">
                  <c:v>Bhavnagar</c:v>
                </c:pt>
                <c:pt idx="7">
                  <c:v>Botad</c:v>
                </c:pt>
                <c:pt idx="8">
                  <c:v>Chhota Udepur</c:v>
                </c:pt>
                <c:pt idx="9">
                  <c:v>Dahod</c:v>
                </c:pt>
                <c:pt idx="10">
                  <c:v>Dang</c:v>
                </c:pt>
                <c:pt idx="11">
                  <c:v>Devbhoomi Dwarka</c:v>
                </c:pt>
                <c:pt idx="12">
                  <c:v>Gandhinagar</c:v>
                </c:pt>
                <c:pt idx="13">
                  <c:v>Gir Somnath</c:v>
                </c:pt>
                <c:pt idx="14">
                  <c:v>Jamnagar</c:v>
                </c:pt>
                <c:pt idx="15">
                  <c:v>Junagadh</c:v>
                </c:pt>
                <c:pt idx="16">
                  <c:v>Kutch</c:v>
                </c:pt>
                <c:pt idx="17">
                  <c:v>Kheda</c:v>
                </c:pt>
                <c:pt idx="18">
                  <c:v>Mahisagar</c:v>
                </c:pt>
                <c:pt idx="19">
                  <c:v>Mehsana</c:v>
                </c:pt>
                <c:pt idx="20">
                  <c:v>Morbi</c:v>
                </c:pt>
                <c:pt idx="21">
                  <c:v>Narmada</c:v>
                </c:pt>
                <c:pt idx="22">
                  <c:v>Navsari</c:v>
                </c:pt>
                <c:pt idx="23">
                  <c:v>Panchmahal</c:v>
                </c:pt>
                <c:pt idx="24">
                  <c:v>Patan</c:v>
                </c:pt>
                <c:pt idx="25">
                  <c:v>Porbandar</c:v>
                </c:pt>
                <c:pt idx="26">
                  <c:v>Rajkot</c:v>
                </c:pt>
                <c:pt idx="27">
                  <c:v>Sabarkantha</c:v>
                </c:pt>
                <c:pt idx="28">
                  <c:v>Surat</c:v>
                </c:pt>
                <c:pt idx="29">
                  <c:v>Surendranagar</c:v>
                </c:pt>
                <c:pt idx="30">
                  <c:v>Tapi</c:v>
                </c:pt>
                <c:pt idx="31">
                  <c:v>Vadodara</c:v>
                </c:pt>
                <c:pt idx="32">
                  <c:v>Valsad</c:v>
                </c:pt>
              </c:strCache>
            </c:strRef>
          </c:cat>
          <c:val>
            <c:numRef>
              <c:f>Dashboard_PARAKH!$E$186:$E$218</c:f>
              <c:numCache>
                <c:formatCode>0%</c:formatCode>
                <c:ptCount val="33"/>
                <c:pt idx="0">
                  <c:v>0.47222222222222221</c:v>
                </c:pt>
                <c:pt idx="1">
                  <c:v>0.48888888888888882</c:v>
                </c:pt>
                <c:pt idx="2">
                  <c:v>0.4744444444444445</c:v>
                </c:pt>
                <c:pt idx="3">
                  <c:v>0.48777777777777775</c:v>
                </c:pt>
                <c:pt idx="4">
                  <c:v>0.49111111111111111</c:v>
                </c:pt>
                <c:pt idx="5">
                  <c:v>0.46888888888888886</c:v>
                </c:pt>
                <c:pt idx="6">
                  <c:v>0.53111111111111109</c:v>
                </c:pt>
                <c:pt idx="7">
                  <c:v>0.48333333333333339</c:v>
                </c:pt>
                <c:pt idx="8">
                  <c:v>0.40444444444444444</c:v>
                </c:pt>
                <c:pt idx="9">
                  <c:v>0.54888888888888898</c:v>
                </c:pt>
                <c:pt idx="10">
                  <c:v>0.37555555555555553</c:v>
                </c:pt>
                <c:pt idx="11">
                  <c:v>0.48000000000000004</c:v>
                </c:pt>
                <c:pt idx="12">
                  <c:v>0.56444444444444442</c:v>
                </c:pt>
                <c:pt idx="13">
                  <c:v>0.45222222222222214</c:v>
                </c:pt>
                <c:pt idx="14">
                  <c:v>0.49444444444444446</c:v>
                </c:pt>
                <c:pt idx="15">
                  <c:v>0.51111111111111118</c:v>
                </c:pt>
                <c:pt idx="16">
                  <c:v>0.47777777777777775</c:v>
                </c:pt>
                <c:pt idx="17">
                  <c:v>0.45333333333333337</c:v>
                </c:pt>
                <c:pt idx="18">
                  <c:v>0.44777777777777772</c:v>
                </c:pt>
                <c:pt idx="19">
                  <c:v>0.50222222222222213</c:v>
                </c:pt>
                <c:pt idx="20">
                  <c:v>0.49111111111111111</c:v>
                </c:pt>
                <c:pt idx="21">
                  <c:v>0.49888888888888894</c:v>
                </c:pt>
                <c:pt idx="22">
                  <c:v>0.48555555555555557</c:v>
                </c:pt>
                <c:pt idx="23">
                  <c:v>0.48333333333333339</c:v>
                </c:pt>
                <c:pt idx="24">
                  <c:v>0.52555555555555555</c:v>
                </c:pt>
                <c:pt idx="25">
                  <c:v>0.48555555555555557</c:v>
                </c:pt>
                <c:pt idx="26">
                  <c:v>0.51555555555555566</c:v>
                </c:pt>
                <c:pt idx="27">
                  <c:v>0.50333333333333341</c:v>
                </c:pt>
                <c:pt idx="28">
                  <c:v>0.48222222222222233</c:v>
                </c:pt>
                <c:pt idx="29">
                  <c:v>0.52555555555555555</c:v>
                </c:pt>
                <c:pt idx="30">
                  <c:v>0.53333333333333344</c:v>
                </c:pt>
                <c:pt idx="31">
                  <c:v>0.4811111111111111</c:v>
                </c:pt>
                <c:pt idx="32">
                  <c:v>0.49</c:v>
                </c:pt>
              </c:numCache>
            </c:numRef>
          </c:val>
          <c:extLst>
            <c:ext xmlns:c16="http://schemas.microsoft.com/office/drawing/2014/chart" uri="{C3380CC4-5D6E-409C-BE32-E72D297353CC}">
              <c16:uniqueId val="{00000003-F250-7740-B34D-CAE7550B862B}"/>
            </c:ext>
          </c:extLst>
        </c:ser>
        <c:dLbls>
          <c:showLegendKey val="0"/>
          <c:showVal val="0"/>
          <c:showCatName val="0"/>
          <c:showSerName val="0"/>
          <c:showPercent val="0"/>
          <c:showBubbleSize val="0"/>
        </c:dLbls>
        <c:gapWidth val="150"/>
        <c:axId val="99757482"/>
        <c:axId val="19062775"/>
      </c:barChart>
      <c:catAx>
        <c:axId val="997574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062775"/>
        <c:crosses val="autoZero"/>
        <c:auto val="1"/>
        <c:lblAlgn val="ctr"/>
        <c:lblOffset val="100"/>
        <c:noMultiLvlLbl val="0"/>
      </c:catAx>
      <c:valAx>
        <c:axId val="1906277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Mastery</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75748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Contextual Variables: High vs Low Performing Schools by Questionnaire</a:t>
            </a:r>
          </a:p>
        </c:rich>
      </c:tx>
      <c:overlay val="0"/>
      <c:spPr>
        <a:noFill/>
        <a:ln w="0">
          <a:noFill/>
        </a:ln>
      </c:spPr>
    </c:title>
    <c:autoTitleDeleted val="0"/>
    <c:plotArea>
      <c:layout/>
      <c:barChart>
        <c:barDir val="col"/>
        <c:grouping val="clustered"/>
        <c:varyColors val="0"/>
        <c:ser>
          <c:idx val="0"/>
          <c:order val="0"/>
          <c:tx>
            <c:strRef>
              <c:f>Dashboard_PARAKH!$B$221</c:f>
              <c:strCache>
                <c:ptCount val="1"/>
                <c:pt idx="0">
                  <c:v>Avg High-Performing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Dashboard_PARAKH!$A$222:$A$226</c:f>
              <c:strCache>
                <c:ptCount val="5"/>
                <c:pt idx="0">
                  <c:v>School Questionnaire</c:v>
                </c:pt>
                <c:pt idx="1">
                  <c:v>Teacher Questionnaire</c:v>
                </c:pt>
                <c:pt idx="2">
                  <c:v>Pupil Questionnaire - Grade 3</c:v>
                </c:pt>
                <c:pt idx="3">
                  <c:v>Pupil Questionnaire - Grade 6</c:v>
                </c:pt>
                <c:pt idx="4">
                  <c:v>Pupil Questionnaire - Grade 9</c:v>
                </c:pt>
              </c:strCache>
            </c:strRef>
          </c:cat>
          <c:val>
            <c:numRef>
              <c:f>Dashboard_PARAKH!$B$222:$B$226</c:f>
              <c:numCache>
                <c:formatCode>0%</c:formatCode>
                <c:ptCount val="5"/>
                <c:pt idx="0">
                  <c:v>0.68031243723787582</c:v>
                </c:pt>
                <c:pt idx="1">
                  <c:v>0.63259740259740271</c:v>
                </c:pt>
                <c:pt idx="2">
                  <c:v>0.54828576464687595</c:v>
                </c:pt>
                <c:pt idx="3">
                  <c:v>0.58885231640787206</c:v>
                </c:pt>
                <c:pt idx="4">
                  <c:v>0.61589737316555504</c:v>
                </c:pt>
              </c:numCache>
            </c:numRef>
          </c:val>
          <c:extLst>
            <c:ext xmlns:c16="http://schemas.microsoft.com/office/drawing/2014/chart" uri="{C3380CC4-5D6E-409C-BE32-E72D297353CC}">
              <c16:uniqueId val="{00000000-5834-3D4E-8171-304C6935E2AD}"/>
            </c:ext>
          </c:extLst>
        </c:ser>
        <c:ser>
          <c:idx val="1"/>
          <c:order val="1"/>
          <c:tx>
            <c:strRef>
              <c:f>Dashboard_PARAKH!$C$221</c:f>
              <c:strCache>
                <c:ptCount val="1"/>
                <c:pt idx="0">
                  <c:v>Avg Low-Performing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Dashboard_PARAKH!$A$222:$A$226</c:f>
              <c:strCache>
                <c:ptCount val="5"/>
                <c:pt idx="0">
                  <c:v>School Questionnaire</c:v>
                </c:pt>
                <c:pt idx="1">
                  <c:v>Teacher Questionnaire</c:v>
                </c:pt>
                <c:pt idx="2">
                  <c:v>Pupil Questionnaire - Grade 3</c:v>
                </c:pt>
                <c:pt idx="3">
                  <c:v>Pupil Questionnaire - Grade 6</c:v>
                </c:pt>
                <c:pt idx="4">
                  <c:v>Pupil Questionnaire - Grade 9</c:v>
                </c:pt>
              </c:strCache>
            </c:strRef>
          </c:cat>
          <c:val>
            <c:numRef>
              <c:f>Dashboard_PARAKH!$C$222:$C$226</c:f>
              <c:numCache>
                <c:formatCode>0%</c:formatCode>
                <c:ptCount val="5"/>
                <c:pt idx="0">
                  <c:v>0.67746823568461001</c:v>
                </c:pt>
                <c:pt idx="1">
                  <c:v>0.63307359307359312</c:v>
                </c:pt>
                <c:pt idx="2">
                  <c:v>0.48358401063956624</c:v>
                </c:pt>
                <c:pt idx="3">
                  <c:v>0.49064164333608784</c:v>
                </c:pt>
                <c:pt idx="4">
                  <c:v>0.55482841735284916</c:v>
                </c:pt>
              </c:numCache>
            </c:numRef>
          </c:val>
          <c:extLst>
            <c:ext xmlns:c16="http://schemas.microsoft.com/office/drawing/2014/chart" uri="{C3380CC4-5D6E-409C-BE32-E72D297353CC}">
              <c16:uniqueId val="{00000001-5834-3D4E-8171-304C6935E2AD}"/>
            </c:ext>
          </c:extLst>
        </c:ser>
        <c:dLbls>
          <c:showLegendKey val="0"/>
          <c:showVal val="0"/>
          <c:showCatName val="0"/>
          <c:showSerName val="0"/>
          <c:showPercent val="0"/>
          <c:showBubbleSize val="0"/>
        </c:dLbls>
        <c:gapWidth val="150"/>
        <c:axId val="86457789"/>
        <c:axId val="30748060"/>
      </c:barChart>
      <c:catAx>
        <c:axId val="864577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748060"/>
        <c:crosses val="autoZero"/>
        <c:auto val="1"/>
        <c:lblAlgn val="ctr"/>
        <c:lblOffset val="100"/>
        <c:noMultiLvlLbl val="0"/>
      </c:catAx>
      <c:valAx>
        <c:axId val="3074806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45778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59</xdr:row>
      <xdr:rowOff>100800</xdr:rowOff>
    </xdr:from>
    <xdr:to>
      <xdr:col>14</xdr:col>
      <xdr:colOff>555120</xdr:colOff>
      <xdr:row>76</xdr:row>
      <xdr:rowOff>101880</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226</xdr:row>
      <xdr:rowOff>124920</xdr:rowOff>
    </xdr:from>
    <xdr:to>
      <xdr:col>11</xdr:col>
      <xdr:colOff>806040</xdr:colOff>
      <xdr:row>244</xdr:row>
      <xdr:rowOff>82380</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246</xdr:row>
      <xdr:rowOff>81300</xdr:rowOff>
    </xdr:from>
    <xdr:to>
      <xdr:col>11</xdr:col>
      <xdr:colOff>859380</xdr:colOff>
      <xdr:row>263</xdr:row>
      <xdr:rowOff>82380</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223</xdr:row>
      <xdr:rowOff>33480</xdr:rowOff>
    </xdr:from>
    <xdr:to>
      <xdr:col>25</xdr:col>
      <xdr:colOff>524160</xdr:colOff>
      <xdr:row>240</xdr:row>
      <xdr:rowOff>173820</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106680</xdr:colOff>
      <xdr:row>243</xdr:row>
      <xdr:rowOff>96540</xdr:rowOff>
    </xdr:from>
    <xdr:to>
      <xdr:col>25</xdr:col>
      <xdr:colOff>630840</xdr:colOff>
      <xdr:row>260</xdr:row>
      <xdr:rowOff>97620</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B30"/>
  <sheetViews>
    <sheetView showGridLines="0" zoomScaleNormal="100" workbookViewId="0">
      <selection activeCell="B30" sqref="B30"/>
    </sheetView>
  </sheetViews>
  <sheetFormatPr defaultColWidth="8.6640625" defaultRowHeight="15.6" x14ac:dyDescent="0.3"/>
  <cols>
    <col min="1" max="1" width="31.6640625" style="11" customWidth="1"/>
    <col min="2" max="2" width="129.6640625" style="11" customWidth="1"/>
    <col min="3" max="16384" width="8.6640625" style="11"/>
  </cols>
  <sheetData>
    <row r="1" spans="1:2" ht="30" customHeight="1" x14ac:dyDescent="0.3">
      <c r="A1" s="81" t="s">
        <v>764</v>
      </c>
      <c r="B1" s="81"/>
    </row>
    <row r="3" spans="1:2" x14ac:dyDescent="0.3">
      <c r="A3" s="22" t="s">
        <v>0</v>
      </c>
      <c r="B3" s="22" t="s">
        <v>1</v>
      </c>
    </row>
    <row r="4" spans="1:2" ht="25.5" customHeight="1" x14ac:dyDescent="0.3">
      <c r="A4" s="13" t="s">
        <v>2</v>
      </c>
      <c r="B4" s="14" t="s">
        <v>3</v>
      </c>
    </row>
    <row r="5" spans="1:2" ht="25.5" customHeight="1" x14ac:dyDescent="0.3">
      <c r="A5" s="13" t="s">
        <v>4</v>
      </c>
      <c r="B5" s="14" t="s">
        <v>5</v>
      </c>
    </row>
    <row r="6" spans="1:2" ht="25.5" customHeight="1" x14ac:dyDescent="0.3">
      <c r="A6" s="13" t="s">
        <v>6</v>
      </c>
      <c r="B6" s="14" t="s">
        <v>7</v>
      </c>
    </row>
    <row r="7" spans="1:2" ht="25.5" customHeight="1" x14ac:dyDescent="0.3">
      <c r="A7" s="13" t="s">
        <v>8</v>
      </c>
      <c r="B7" s="14" t="s">
        <v>9</v>
      </c>
    </row>
    <row r="8" spans="1:2" ht="25.5" customHeight="1" x14ac:dyDescent="0.3">
      <c r="A8" s="13" t="s">
        <v>10</v>
      </c>
      <c r="B8" s="14" t="s">
        <v>11</v>
      </c>
    </row>
    <row r="9" spans="1:2" ht="25.5" customHeight="1" x14ac:dyDescent="0.3">
      <c r="A9" s="13" t="s">
        <v>12</v>
      </c>
      <c r="B9" s="14" t="s">
        <v>13</v>
      </c>
    </row>
    <row r="10" spans="1:2" ht="25.5" customHeight="1" x14ac:dyDescent="0.3">
      <c r="A10" s="13" t="s">
        <v>14</v>
      </c>
      <c r="B10" s="14" t="s">
        <v>15</v>
      </c>
    </row>
    <row r="11" spans="1:2" ht="25.5" customHeight="1" x14ac:dyDescent="0.3">
      <c r="A11" s="13" t="s">
        <v>16</v>
      </c>
      <c r="B11" s="14" t="s">
        <v>17</v>
      </c>
    </row>
    <row r="12" spans="1:2" ht="25.5" customHeight="1" x14ac:dyDescent="0.3">
      <c r="A12" s="13" t="s">
        <v>18</v>
      </c>
      <c r="B12" s="14" t="s">
        <v>19</v>
      </c>
    </row>
    <row r="13" spans="1:2" ht="25.5" customHeight="1" x14ac:dyDescent="0.3">
      <c r="A13" s="13" t="s">
        <v>20</v>
      </c>
      <c r="B13" s="14" t="s">
        <v>21</v>
      </c>
    </row>
    <row r="14" spans="1:2" ht="25.5" customHeight="1" x14ac:dyDescent="0.3">
      <c r="A14" s="13" t="s">
        <v>22</v>
      </c>
      <c r="B14" s="14" t="s">
        <v>23</v>
      </c>
    </row>
    <row r="15" spans="1:2" ht="25.5" customHeight="1" x14ac:dyDescent="0.3">
      <c r="A15" s="13" t="s">
        <v>24</v>
      </c>
      <c r="B15" s="14" t="s">
        <v>25</v>
      </c>
    </row>
    <row r="16" spans="1:2" ht="25.5" customHeight="1" x14ac:dyDescent="0.3">
      <c r="A16" s="13" t="s">
        <v>26</v>
      </c>
      <c r="B16" s="14" t="s">
        <v>27</v>
      </c>
    </row>
    <row r="17" spans="1:2" ht="25.5" customHeight="1" x14ac:dyDescent="0.3">
      <c r="A17" s="13" t="s">
        <v>28</v>
      </c>
      <c r="B17" s="14" t="s">
        <v>29</v>
      </c>
    </row>
    <row r="18" spans="1:2" ht="25.5" customHeight="1" x14ac:dyDescent="0.3">
      <c r="A18" s="13" t="s">
        <v>30</v>
      </c>
      <c r="B18" s="14" t="s">
        <v>31</v>
      </c>
    </row>
    <row r="19" spans="1:2" ht="25.5" customHeight="1" x14ac:dyDescent="0.3">
      <c r="A19" s="13" t="s">
        <v>32</v>
      </c>
      <c r="B19" s="14" t="s">
        <v>33</v>
      </c>
    </row>
    <row r="20" spans="1:2" ht="25.5" customHeight="1" x14ac:dyDescent="0.3">
      <c r="A20" s="13" t="s">
        <v>34</v>
      </c>
      <c r="B20" s="14" t="s">
        <v>35</v>
      </c>
    </row>
    <row r="21" spans="1:2" ht="25.5" customHeight="1" x14ac:dyDescent="0.3">
      <c r="A21" s="13" t="s">
        <v>36</v>
      </c>
      <c r="B21" s="14" t="s">
        <v>37</v>
      </c>
    </row>
    <row r="22" spans="1:2" ht="25.5" customHeight="1" x14ac:dyDescent="0.3">
      <c r="A22" s="13" t="s">
        <v>38</v>
      </c>
      <c r="B22" s="14" t="s">
        <v>39</v>
      </c>
    </row>
    <row r="23" spans="1:2" ht="25.5" customHeight="1" x14ac:dyDescent="0.3">
      <c r="A23" s="13" t="s">
        <v>40</v>
      </c>
      <c r="B23" s="14" t="s">
        <v>41</v>
      </c>
    </row>
    <row r="25" spans="1:2" x14ac:dyDescent="0.3">
      <c r="A25" s="23" t="s">
        <v>42</v>
      </c>
    </row>
    <row r="26" spans="1:2" x14ac:dyDescent="0.3">
      <c r="A26" s="16" t="s">
        <v>43</v>
      </c>
      <c r="B26" s="17" t="s">
        <v>44</v>
      </c>
    </row>
    <row r="27" spans="1:2" x14ac:dyDescent="0.3">
      <c r="A27" s="18" t="s">
        <v>45</v>
      </c>
      <c r="B27" s="17" t="s">
        <v>46</v>
      </c>
    </row>
    <row r="28" spans="1:2" x14ac:dyDescent="0.3">
      <c r="A28" s="19" t="s">
        <v>47</v>
      </c>
      <c r="B28" s="17" t="s">
        <v>48</v>
      </c>
    </row>
    <row r="29" spans="1:2" x14ac:dyDescent="0.3">
      <c r="A29" s="20" t="s">
        <v>49</v>
      </c>
      <c r="B29" s="17" t="s">
        <v>50</v>
      </c>
    </row>
    <row r="30" spans="1:2" x14ac:dyDescent="0.3">
      <c r="A30" s="21" t="s">
        <v>51</v>
      </c>
      <c r="B30" s="17" t="s">
        <v>52</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C88"/>
  <sheetViews>
    <sheetView showGridLines="0" zoomScaleNormal="100" workbookViewId="0">
      <selection activeCell="E17" sqref="E17"/>
    </sheetView>
  </sheetViews>
  <sheetFormatPr defaultColWidth="8.6640625" defaultRowHeight="15.6" x14ac:dyDescent="0.3"/>
  <cols>
    <col min="1" max="1" width="28" style="11" customWidth="1"/>
    <col min="2" max="2" width="40" style="11" customWidth="1"/>
    <col min="3" max="3" width="72.33203125" style="11" customWidth="1"/>
    <col min="4" max="16384" width="8.6640625" style="11"/>
  </cols>
  <sheetData>
    <row r="1" spans="1:3" ht="25.5" customHeight="1" x14ac:dyDescent="0.3">
      <c r="A1" s="81" t="s">
        <v>765</v>
      </c>
      <c r="B1" s="81"/>
      <c r="C1" s="81"/>
    </row>
    <row r="3" spans="1:3" x14ac:dyDescent="0.3">
      <c r="A3" s="83" t="s">
        <v>53</v>
      </c>
      <c r="B3" s="83"/>
      <c r="C3" s="83"/>
    </row>
    <row r="4" spans="1:3" ht="31.5" customHeight="1" x14ac:dyDescent="0.3">
      <c r="A4" s="13" t="s">
        <v>54</v>
      </c>
      <c r="B4" s="82" t="s">
        <v>55</v>
      </c>
      <c r="C4" s="82"/>
    </row>
    <row r="5" spans="1:3" ht="31.5" customHeight="1" x14ac:dyDescent="0.3">
      <c r="A5" s="13" t="s">
        <v>56</v>
      </c>
      <c r="B5" s="82" t="s">
        <v>57</v>
      </c>
      <c r="C5" s="82"/>
    </row>
    <row r="6" spans="1:3" ht="31.5" customHeight="1" x14ac:dyDescent="0.3">
      <c r="A6" s="13" t="s">
        <v>58</v>
      </c>
      <c r="B6" s="82" t="s">
        <v>59</v>
      </c>
      <c r="C6" s="82"/>
    </row>
    <row r="7" spans="1:3" ht="31.5" customHeight="1" x14ac:dyDescent="0.3">
      <c r="A7" s="13" t="s">
        <v>60</v>
      </c>
      <c r="B7" s="82" t="s">
        <v>61</v>
      </c>
      <c r="C7" s="82"/>
    </row>
    <row r="8" spans="1:3" ht="31.5" customHeight="1" x14ac:dyDescent="0.3">
      <c r="A8" s="13" t="s">
        <v>62</v>
      </c>
      <c r="B8" s="82" t="s">
        <v>63</v>
      </c>
      <c r="C8" s="82"/>
    </row>
    <row r="9" spans="1:3" ht="31.5" customHeight="1" x14ac:dyDescent="0.3">
      <c r="A9" s="13" t="s">
        <v>64</v>
      </c>
      <c r="B9" s="82" t="s">
        <v>65</v>
      </c>
      <c r="C9" s="82"/>
    </row>
    <row r="11" spans="1:3" x14ac:dyDescent="0.3">
      <c r="A11" s="83" t="s">
        <v>66</v>
      </c>
      <c r="B11" s="83"/>
      <c r="C11" s="83"/>
    </row>
    <row r="12" spans="1:3" ht="31.5" customHeight="1" x14ac:dyDescent="0.3">
      <c r="A12" s="13" t="s">
        <v>1</v>
      </c>
      <c r="B12" s="82" t="s">
        <v>67</v>
      </c>
      <c r="C12" s="82"/>
    </row>
    <row r="14" spans="1:3" x14ac:dyDescent="0.3">
      <c r="A14" s="83" t="s">
        <v>68</v>
      </c>
      <c r="B14" s="83"/>
      <c r="C14" s="83"/>
    </row>
    <row r="15" spans="1:3" ht="31.5" customHeight="1" x14ac:dyDescent="0.3">
      <c r="A15" s="13" t="s">
        <v>69</v>
      </c>
      <c r="B15" s="82" t="s">
        <v>70</v>
      </c>
      <c r="C15" s="82"/>
    </row>
    <row r="16" spans="1:3" ht="31.5" customHeight="1" x14ac:dyDescent="0.3">
      <c r="A16" s="13" t="s">
        <v>71</v>
      </c>
      <c r="B16" s="82" t="s">
        <v>72</v>
      </c>
      <c r="C16" s="82"/>
    </row>
    <row r="17" spans="1:3" ht="31.5" customHeight="1" x14ac:dyDescent="0.3">
      <c r="A17" s="13" t="s">
        <v>73</v>
      </c>
      <c r="B17" s="82" t="s">
        <v>74</v>
      </c>
      <c r="C17" s="82"/>
    </row>
    <row r="19" spans="1:3" x14ac:dyDescent="0.3">
      <c r="A19" s="83" t="s">
        <v>75</v>
      </c>
      <c r="B19" s="83"/>
      <c r="C19" s="83"/>
    </row>
    <row r="20" spans="1:3" ht="31.5" customHeight="1" x14ac:dyDescent="0.3">
      <c r="A20" s="13" t="s">
        <v>69</v>
      </c>
      <c r="B20" s="82" t="s">
        <v>76</v>
      </c>
      <c r="C20" s="82"/>
    </row>
    <row r="21" spans="1:3" ht="31.5" customHeight="1" x14ac:dyDescent="0.3">
      <c r="A21" s="13" t="s">
        <v>77</v>
      </c>
      <c r="B21" s="82" t="s">
        <v>78</v>
      </c>
      <c r="C21" s="82"/>
    </row>
    <row r="23" spans="1:3" x14ac:dyDescent="0.3">
      <c r="A23" s="83" t="s">
        <v>79</v>
      </c>
      <c r="B23" s="83"/>
      <c r="C23" s="83"/>
    </row>
    <row r="24" spans="1:3" ht="31.5" customHeight="1" x14ac:dyDescent="0.3">
      <c r="A24" s="13" t="s">
        <v>69</v>
      </c>
      <c r="B24" s="82" t="s">
        <v>80</v>
      </c>
      <c r="C24" s="82"/>
    </row>
    <row r="25" spans="1:3" ht="31.5" customHeight="1" x14ac:dyDescent="0.3">
      <c r="A25" s="13" t="s">
        <v>81</v>
      </c>
      <c r="B25" s="82" t="s">
        <v>82</v>
      </c>
      <c r="C25" s="82"/>
    </row>
    <row r="26" spans="1:3" ht="31.5" customHeight="1" x14ac:dyDescent="0.3">
      <c r="A26" s="13" t="s">
        <v>83</v>
      </c>
      <c r="B26" s="82" t="s">
        <v>84</v>
      </c>
      <c r="C26" s="82"/>
    </row>
    <row r="28" spans="1:3" x14ac:dyDescent="0.3">
      <c r="A28" s="83" t="s">
        <v>85</v>
      </c>
      <c r="B28" s="83"/>
      <c r="C28" s="83"/>
    </row>
    <row r="29" spans="1:3" ht="31.5" customHeight="1" x14ac:dyDescent="0.3">
      <c r="A29" s="13" t="s">
        <v>69</v>
      </c>
      <c r="B29" s="82" t="s">
        <v>86</v>
      </c>
      <c r="C29" s="82"/>
    </row>
    <row r="31" spans="1:3" x14ac:dyDescent="0.3">
      <c r="A31" s="83" t="s">
        <v>87</v>
      </c>
      <c r="B31" s="83"/>
      <c r="C31" s="83"/>
    </row>
    <row r="32" spans="1:3" ht="31.5" customHeight="1" x14ac:dyDescent="0.3">
      <c r="A32" s="13" t="s">
        <v>69</v>
      </c>
      <c r="B32" s="82" t="s">
        <v>88</v>
      </c>
      <c r="C32" s="82"/>
    </row>
    <row r="33" spans="1:3" ht="31.5" customHeight="1" x14ac:dyDescent="0.3">
      <c r="A33" s="13" t="s">
        <v>89</v>
      </c>
      <c r="B33" s="82" t="s">
        <v>90</v>
      </c>
      <c r="C33" s="82"/>
    </row>
    <row r="34" spans="1:3" ht="31.5" customHeight="1" x14ac:dyDescent="0.3">
      <c r="A34" s="13" t="s">
        <v>91</v>
      </c>
      <c r="B34" s="82" t="s">
        <v>92</v>
      </c>
      <c r="C34" s="82"/>
    </row>
    <row r="35" spans="1:3" ht="31.5" customHeight="1" x14ac:dyDescent="0.3">
      <c r="A35" s="13" t="s">
        <v>93</v>
      </c>
      <c r="B35" s="82" t="s">
        <v>94</v>
      </c>
      <c r="C35" s="82"/>
    </row>
    <row r="37" spans="1:3" x14ac:dyDescent="0.3">
      <c r="A37" s="83" t="s">
        <v>95</v>
      </c>
      <c r="B37" s="83"/>
      <c r="C37" s="83"/>
    </row>
    <row r="38" spans="1:3" ht="31.5" customHeight="1" x14ac:dyDescent="0.3">
      <c r="A38" s="13" t="s">
        <v>69</v>
      </c>
      <c r="B38" s="82" t="s">
        <v>96</v>
      </c>
      <c r="C38" s="82"/>
    </row>
    <row r="39" spans="1:3" ht="31.5" customHeight="1" x14ac:dyDescent="0.3">
      <c r="A39" s="13" t="s">
        <v>97</v>
      </c>
      <c r="B39" s="82" t="s">
        <v>98</v>
      </c>
      <c r="C39" s="82"/>
    </row>
    <row r="40" spans="1:3" ht="31.5" customHeight="1" x14ac:dyDescent="0.3">
      <c r="A40" s="13" t="s">
        <v>81</v>
      </c>
      <c r="B40" s="82" t="s">
        <v>99</v>
      </c>
      <c r="C40" s="82"/>
    </row>
    <row r="41" spans="1:3" ht="31.5" customHeight="1" x14ac:dyDescent="0.3">
      <c r="A41" s="13" t="s">
        <v>100</v>
      </c>
      <c r="B41" s="82" t="s">
        <v>101</v>
      </c>
      <c r="C41" s="82"/>
    </row>
    <row r="42" spans="1:3" ht="31.5" customHeight="1" x14ac:dyDescent="0.3">
      <c r="A42" s="13" t="s">
        <v>89</v>
      </c>
      <c r="B42" s="82" t="s">
        <v>102</v>
      </c>
      <c r="C42" s="82"/>
    </row>
    <row r="43" spans="1:3" ht="31.5" customHeight="1" x14ac:dyDescent="0.3">
      <c r="A43" s="13" t="s">
        <v>103</v>
      </c>
      <c r="B43" s="82" t="s">
        <v>104</v>
      </c>
      <c r="C43" s="82"/>
    </row>
    <row r="45" spans="1:3" x14ac:dyDescent="0.3">
      <c r="A45" s="83" t="s">
        <v>105</v>
      </c>
      <c r="B45" s="83"/>
      <c r="C45" s="83"/>
    </row>
    <row r="46" spans="1:3" ht="31.5" customHeight="1" x14ac:dyDescent="0.3">
      <c r="A46" s="13" t="s">
        <v>69</v>
      </c>
      <c r="B46" s="82" t="s">
        <v>106</v>
      </c>
      <c r="C46" s="82"/>
    </row>
    <row r="47" spans="1:3" ht="31.5" customHeight="1" x14ac:dyDescent="0.3">
      <c r="A47" s="13" t="s">
        <v>107</v>
      </c>
      <c r="B47" s="82" t="s">
        <v>108</v>
      </c>
      <c r="C47" s="82"/>
    </row>
    <row r="49" spans="1:3" x14ac:dyDescent="0.3">
      <c r="A49" s="83" t="s">
        <v>109</v>
      </c>
      <c r="B49" s="83"/>
      <c r="C49" s="83"/>
    </row>
    <row r="50" spans="1:3" ht="31.5" customHeight="1" x14ac:dyDescent="0.3">
      <c r="A50" s="13" t="s">
        <v>69</v>
      </c>
      <c r="B50" s="82" t="s">
        <v>110</v>
      </c>
      <c r="C50" s="82"/>
    </row>
    <row r="51" spans="1:3" ht="31.5" customHeight="1" x14ac:dyDescent="0.3">
      <c r="A51" s="13" t="s">
        <v>111</v>
      </c>
      <c r="B51" s="82" t="s">
        <v>112</v>
      </c>
      <c r="C51" s="82"/>
    </row>
    <row r="53" spans="1:3" x14ac:dyDescent="0.3">
      <c r="A53" s="83" t="s">
        <v>113</v>
      </c>
      <c r="B53" s="83"/>
      <c r="C53" s="83"/>
    </row>
    <row r="54" spans="1:3" ht="19.5" customHeight="1" x14ac:dyDescent="0.3">
      <c r="A54" s="13" t="s">
        <v>114</v>
      </c>
      <c r="B54" s="82" t="s">
        <v>115</v>
      </c>
      <c r="C54" s="82"/>
    </row>
    <row r="55" spans="1:3" ht="19.5" customHeight="1" x14ac:dyDescent="0.3">
      <c r="A55" s="13" t="s">
        <v>116</v>
      </c>
      <c r="B55" s="82" t="s">
        <v>117</v>
      </c>
      <c r="C55" s="82"/>
    </row>
    <row r="56" spans="1:3" ht="19.5" customHeight="1" x14ac:dyDescent="0.3">
      <c r="A56" s="13" t="s">
        <v>118</v>
      </c>
      <c r="B56" s="82" t="s">
        <v>119</v>
      </c>
      <c r="C56" s="82"/>
    </row>
    <row r="57" spans="1:3" ht="19.5" customHeight="1" x14ac:dyDescent="0.3">
      <c r="A57" s="13" t="s">
        <v>120</v>
      </c>
      <c r="B57" s="82" t="s">
        <v>121</v>
      </c>
      <c r="C57" s="82"/>
    </row>
    <row r="58" spans="1:3" ht="19.5" customHeight="1" x14ac:dyDescent="0.3">
      <c r="A58" s="13" t="s">
        <v>122</v>
      </c>
      <c r="B58" s="82" t="s">
        <v>123</v>
      </c>
      <c r="C58" s="82"/>
    </row>
    <row r="59" spans="1:3" ht="19.5" customHeight="1" x14ac:dyDescent="0.3">
      <c r="A59" s="13" t="s">
        <v>124</v>
      </c>
      <c r="B59" s="82" t="s">
        <v>125</v>
      </c>
      <c r="C59" s="82"/>
    </row>
    <row r="60" spans="1:3" ht="19.5" customHeight="1" x14ac:dyDescent="0.3">
      <c r="A60" s="13" t="s">
        <v>126</v>
      </c>
      <c r="B60" s="82" t="s">
        <v>127</v>
      </c>
      <c r="C60" s="82"/>
    </row>
    <row r="61" spans="1:3" ht="19.5" customHeight="1" x14ac:dyDescent="0.3">
      <c r="A61" s="13" t="s">
        <v>128</v>
      </c>
      <c r="B61" s="82" t="s">
        <v>129</v>
      </c>
      <c r="C61" s="82"/>
    </row>
    <row r="62" spans="1:3" ht="19.5" customHeight="1" x14ac:dyDescent="0.3">
      <c r="A62" s="13" t="s">
        <v>130</v>
      </c>
      <c r="B62" s="82" t="s">
        <v>131</v>
      </c>
      <c r="C62" s="82"/>
    </row>
    <row r="63" spans="1:3" ht="19.5" customHeight="1" x14ac:dyDescent="0.3">
      <c r="A63" s="13" t="s">
        <v>132</v>
      </c>
      <c r="B63" s="82" t="s">
        <v>133</v>
      </c>
      <c r="C63" s="82"/>
    </row>
    <row r="65" spans="1:3" x14ac:dyDescent="0.3">
      <c r="A65" s="83" t="s">
        <v>134</v>
      </c>
      <c r="B65" s="83"/>
      <c r="C65" s="83"/>
    </row>
    <row r="66" spans="1:3" ht="31.5" customHeight="1" x14ac:dyDescent="0.3">
      <c r="A66" s="13" t="s">
        <v>135</v>
      </c>
      <c r="B66" s="82" t="s">
        <v>136</v>
      </c>
      <c r="C66" s="82"/>
    </row>
    <row r="67" spans="1:3" ht="31.5" customHeight="1" x14ac:dyDescent="0.3">
      <c r="A67" s="13" t="s">
        <v>137</v>
      </c>
      <c r="B67" s="82" t="s">
        <v>138</v>
      </c>
      <c r="C67" s="82"/>
    </row>
    <row r="68" spans="1:3" ht="31.5" customHeight="1" x14ac:dyDescent="0.3">
      <c r="A68" s="13" t="s">
        <v>139</v>
      </c>
      <c r="B68" s="82" t="s">
        <v>140</v>
      </c>
      <c r="C68" s="82"/>
    </row>
    <row r="69" spans="1:3" ht="31.5" customHeight="1" x14ac:dyDescent="0.3">
      <c r="A69" s="13" t="s">
        <v>141</v>
      </c>
      <c r="B69" s="82" t="s">
        <v>142</v>
      </c>
      <c r="C69" s="82"/>
    </row>
    <row r="70" spans="1:3" ht="31.5" customHeight="1" x14ac:dyDescent="0.3">
      <c r="A70" s="13" t="s">
        <v>143</v>
      </c>
      <c r="B70" s="82" t="s">
        <v>144</v>
      </c>
      <c r="C70" s="82"/>
    </row>
    <row r="71" spans="1:3" ht="31.5" customHeight="1" x14ac:dyDescent="0.3">
      <c r="A71" s="13" t="s">
        <v>145</v>
      </c>
      <c r="B71" s="82" t="s">
        <v>146</v>
      </c>
      <c r="C71" s="82"/>
    </row>
    <row r="72" spans="1:3" ht="31.5" customHeight="1" x14ac:dyDescent="0.3">
      <c r="A72" s="13" t="s">
        <v>147</v>
      </c>
      <c r="B72" s="82" t="s">
        <v>148</v>
      </c>
      <c r="C72" s="82"/>
    </row>
    <row r="73" spans="1:3" ht="31.5" customHeight="1" x14ac:dyDescent="0.3">
      <c r="A73" s="13" t="s">
        <v>149</v>
      </c>
      <c r="B73" s="82" t="s">
        <v>150</v>
      </c>
      <c r="C73" s="82"/>
    </row>
    <row r="74" spans="1:3" ht="31.5" customHeight="1" x14ac:dyDescent="0.3">
      <c r="A74" s="13" t="s">
        <v>151</v>
      </c>
      <c r="B74" s="82" t="s">
        <v>152</v>
      </c>
      <c r="C74" s="82"/>
    </row>
    <row r="75" spans="1:3" ht="31.5" customHeight="1" x14ac:dyDescent="0.3">
      <c r="A75" s="13" t="s">
        <v>153</v>
      </c>
      <c r="B75" s="82" t="s">
        <v>154</v>
      </c>
      <c r="C75" s="82"/>
    </row>
    <row r="76" spans="1:3" ht="31.5" customHeight="1" x14ac:dyDescent="0.3">
      <c r="A76" s="13" t="s">
        <v>155</v>
      </c>
      <c r="B76" s="82" t="s">
        <v>156</v>
      </c>
      <c r="C76" s="82"/>
    </row>
    <row r="77" spans="1:3" ht="31.5" customHeight="1" x14ac:dyDescent="0.3">
      <c r="A77" s="13" t="s">
        <v>157</v>
      </c>
      <c r="B77" s="82" t="s">
        <v>158</v>
      </c>
      <c r="C77" s="82"/>
    </row>
    <row r="78" spans="1:3" ht="31.5" customHeight="1" x14ac:dyDescent="0.3">
      <c r="A78" s="13" t="s">
        <v>159</v>
      </c>
      <c r="B78" s="82" t="s">
        <v>160</v>
      </c>
      <c r="C78" s="82"/>
    </row>
    <row r="79" spans="1:3" ht="31.5" customHeight="1" x14ac:dyDescent="0.3">
      <c r="A79" s="13" t="s">
        <v>161</v>
      </c>
      <c r="B79" s="82" t="s">
        <v>162</v>
      </c>
      <c r="C79" s="82"/>
    </row>
    <row r="81" spans="1:3" x14ac:dyDescent="0.3">
      <c r="A81" s="83" t="s">
        <v>163</v>
      </c>
      <c r="B81" s="83"/>
      <c r="C81" s="83"/>
    </row>
    <row r="82" spans="1:3" ht="31.5" customHeight="1" x14ac:dyDescent="0.3">
      <c r="A82" s="13" t="s">
        <v>164</v>
      </c>
      <c r="B82" s="82" t="s">
        <v>766</v>
      </c>
      <c r="C82" s="82"/>
    </row>
    <row r="83" spans="1:3" ht="31.5" customHeight="1" x14ac:dyDescent="0.3">
      <c r="A83" s="13" t="s">
        <v>165</v>
      </c>
      <c r="B83" s="82" t="s">
        <v>767</v>
      </c>
      <c r="C83" s="82"/>
    </row>
    <row r="84" spans="1:3" ht="31.5" customHeight="1" x14ac:dyDescent="0.3">
      <c r="A84" s="13" t="s">
        <v>166</v>
      </c>
      <c r="B84" s="82" t="s">
        <v>768</v>
      </c>
      <c r="C84" s="82"/>
    </row>
    <row r="85" spans="1:3" ht="31.5" customHeight="1" x14ac:dyDescent="0.3">
      <c r="A85" s="13" t="s">
        <v>167</v>
      </c>
      <c r="B85" s="82" t="s">
        <v>769</v>
      </c>
      <c r="C85" s="82"/>
    </row>
    <row r="86" spans="1:3" ht="31.5" customHeight="1" x14ac:dyDescent="0.3">
      <c r="A86" s="13" t="s">
        <v>168</v>
      </c>
      <c r="B86" s="82" t="s">
        <v>770</v>
      </c>
      <c r="C86" s="82"/>
    </row>
    <row r="87" spans="1:3" ht="31.5" customHeight="1" x14ac:dyDescent="0.3">
      <c r="A87" s="13" t="s">
        <v>169</v>
      </c>
      <c r="B87" s="82" t="s">
        <v>771</v>
      </c>
      <c r="C87" s="82"/>
    </row>
    <row r="88" spans="1:3" ht="31.5" customHeight="1" x14ac:dyDescent="0.3">
      <c r="A88" s="13" t="s">
        <v>170</v>
      </c>
      <c r="B88" s="82" t="s">
        <v>772</v>
      </c>
      <c r="C88" s="82"/>
    </row>
  </sheetData>
  <mergeCells count="75">
    <mergeCell ref="A1:C1"/>
    <mergeCell ref="A3:C3"/>
    <mergeCell ref="B4:C4"/>
    <mergeCell ref="B5:C5"/>
    <mergeCell ref="B6:C6"/>
    <mergeCell ref="B7:C7"/>
    <mergeCell ref="B8:C8"/>
    <mergeCell ref="B9:C9"/>
    <mergeCell ref="A11:C11"/>
    <mergeCell ref="B12:C12"/>
    <mergeCell ref="A14:C14"/>
    <mergeCell ref="B15:C15"/>
    <mergeCell ref="B16:C16"/>
    <mergeCell ref="B17:C17"/>
    <mergeCell ref="A19:C19"/>
    <mergeCell ref="B20:C20"/>
    <mergeCell ref="B21:C21"/>
    <mergeCell ref="A23:C23"/>
    <mergeCell ref="B24:C24"/>
    <mergeCell ref="B25:C25"/>
    <mergeCell ref="B26:C26"/>
    <mergeCell ref="A28:C28"/>
    <mergeCell ref="B29:C29"/>
    <mergeCell ref="A31:C31"/>
    <mergeCell ref="B32:C32"/>
    <mergeCell ref="B33:C33"/>
    <mergeCell ref="B34:C34"/>
    <mergeCell ref="B35:C35"/>
    <mergeCell ref="A37:C37"/>
    <mergeCell ref="B38:C38"/>
    <mergeCell ref="B39:C39"/>
    <mergeCell ref="B40:C40"/>
    <mergeCell ref="B41:C41"/>
    <mergeCell ref="B42:C42"/>
    <mergeCell ref="B43:C43"/>
    <mergeCell ref="A45:C45"/>
    <mergeCell ref="B46:C46"/>
    <mergeCell ref="B47:C47"/>
    <mergeCell ref="A49:C49"/>
    <mergeCell ref="B50:C50"/>
    <mergeCell ref="B51:C51"/>
    <mergeCell ref="A53:C53"/>
    <mergeCell ref="B54:C54"/>
    <mergeCell ref="B55:C55"/>
    <mergeCell ref="B56:C56"/>
    <mergeCell ref="B57:C57"/>
    <mergeCell ref="B58:C58"/>
    <mergeCell ref="B59:C59"/>
    <mergeCell ref="B60:C60"/>
    <mergeCell ref="B61:C61"/>
    <mergeCell ref="B62:C62"/>
    <mergeCell ref="B63:C63"/>
    <mergeCell ref="A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A81:C81"/>
    <mergeCell ref="B82:C82"/>
    <mergeCell ref="B83:C83"/>
    <mergeCell ref="B84:C84"/>
    <mergeCell ref="B85:C85"/>
    <mergeCell ref="B86:C86"/>
    <mergeCell ref="B87:C87"/>
    <mergeCell ref="B88:C8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C36"/>
  <sheetViews>
    <sheetView showGridLines="0" zoomScaleNormal="100" workbookViewId="0">
      <selection activeCell="C5" sqref="C5"/>
    </sheetView>
  </sheetViews>
  <sheetFormatPr defaultColWidth="8.6640625" defaultRowHeight="15.6" x14ac:dyDescent="0.3"/>
  <cols>
    <col min="1" max="1" width="7.6640625" style="11" customWidth="1"/>
    <col min="2" max="2" width="24" style="11" customWidth="1"/>
    <col min="3" max="3" width="113.33203125" style="11" customWidth="1"/>
    <col min="4" max="16384" width="8.6640625" style="11"/>
  </cols>
  <sheetData>
    <row r="1" spans="1:3" ht="25.5" customHeight="1" x14ac:dyDescent="0.3">
      <c r="A1" s="84" t="s">
        <v>773</v>
      </c>
      <c r="B1" s="84"/>
      <c r="C1" s="84"/>
    </row>
    <row r="2" spans="1:3" ht="18" customHeight="1" x14ac:dyDescent="0.3">
      <c r="A2" s="85" t="s">
        <v>171</v>
      </c>
      <c r="B2" s="85"/>
      <c r="C2" s="85"/>
    </row>
    <row r="3" spans="1:3" x14ac:dyDescent="0.3">
      <c r="A3" s="26" t="s">
        <v>774</v>
      </c>
      <c r="B3" s="26" t="s">
        <v>172</v>
      </c>
      <c r="C3" s="26" t="s">
        <v>173</v>
      </c>
    </row>
    <row r="4" spans="1:3" ht="15.75" customHeight="1" x14ac:dyDescent="0.3">
      <c r="A4" s="25">
        <v>1</v>
      </c>
      <c r="B4" s="17" t="s">
        <v>174</v>
      </c>
      <c r="C4" s="17"/>
    </row>
    <row r="5" spans="1:3" ht="15.75" customHeight="1" x14ac:dyDescent="0.3">
      <c r="A5" s="25">
        <v>2</v>
      </c>
      <c r="B5" s="17" t="s">
        <v>175</v>
      </c>
      <c r="C5" s="17"/>
    </row>
    <row r="6" spans="1:3" ht="15.75" customHeight="1" x14ac:dyDescent="0.3">
      <c r="A6" s="25">
        <v>3</v>
      </c>
      <c r="B6" s="17" t="s">
        <v>176</v>
      </c>
      <c r="C6" s="17"/>
    </row>
    <row r="7" spans="1:3" ht="15.75" customHeight="1" x14ac:dyDescent="0.3">
      <c r="A7" s="25">
        <v>4</v>
      </c>
      <c r="B7" s="17" t="s">
        <v>177</v>
      </c>
      <c r="C7" s="17"/>
    </row>
    <row r="8" spans="1:3" ht="15.75" customHeight="1" x14ac:dyDescent="0.3">
      <c r="A8" s="25">
        <v>5</v>
      </c>
      <c r="B8" s="17" t="s">
        <v>178</v>
      </c>
      <c r="C8" s="17"/>
    </row>
    <row r="9" spans="1:3" ht="15.75" customHeight="1" x14ac:dyDescent="0.3">
      <c r="A9" s="25">
        <v>6</v>
      </c>
      <c r="B9" s="17" t="s">
        <v>179</v>
      </c>
      <c r="C9" s="17"/>
    </row>
    <row r="10" spans="1:3" ht="15.75" customHeight="1" x14ac:dyDescent="0.3">
      <c r="A10" s="25">
        <v>7</v>
      </c>
      <c r="B10" s="17" t="s">
        <v>180</v>
      </c>
      <c r="C10" s="17"/>
    </row>
    <row r="11" spans="1:3" ht="15.75" customHeight="1" x14ac:dyDescent="0.3">
      <c r="A11" s="25">
        <v>8</v>
      </c>
      <c r="B11" s="17" t="s">
        <v>181</v>
      </c>
      <c r="C11" s="17"/>
    </row>
    <row r="12" spans="1:3" ht="15.75" customHeight="1" x14ac:dyDescent="0.3">
      <c r="A12" s="25">
        <v>9</v>
      </c>
      <c r="B12" s="17" t="s">
        <v>182</v>
      </c>
      <c r="C12" s="17"/>
    </row>
    <row r="13" spans="1:3" ht="15.75" customHeight="1" x14ac:dyDescent="0.3">
      <c r="A13" s="25">
        <v>10</v>
      </c>
      <c r="B13" s="17" t="s">
        <v>183</v>
      </c>
      <c r="C13" s="17"/>
    </row>
    <row r="14" spans="1:3" ht="15.75" customHeight="1" x14ac:dyDescent="0.3">
      <c r="A14" s="25">
        <v>11</v>
      </c>
      <c r="B14" s="17" t="s">
        <v>184</v>
      </c>
      <c r="C14" s="17"/>
    </row>
    <row r="15" spans="1:3" ht="15.75" customHeight="1" x14ac:dyDescent="0.3">
      <c r="A15" s="25">
        <v>12</v>
      </c>
      <c r="B15" s="17" t="s">
        <v>185</v>
      </c>
      <c r="C15" s="17"/>
    </row>
    <row r="16" spans="1:3" ht="15.75" customHeight="1" x14ac:dyDescent="0.3">
      <c r="A16" s="25">
        <v>13</v>
      </c>
      <c r="B16" s="17" t="s">
        <v>186</v>
      </c>
      <c r="C16" s="17"/>
    </row>
    <row r="17" spans="1:3" ht="15.75" customHeight="1" x14ac:dyDescent="0.3">
      <c r="A17" s="25">
        <v>14</v>
      </c>
      <c r="B17" s="17" t="s">
        <v>187</v>
      </c>
      <c r="C17" s="17"/>
    </row>
    <row r="18" spans="1:3" ht="15.75" customHeight="1" x14ac:dyDescent="0.3">
      <c r="A18" s="25">
        <v>15</v>
      </c>
      <c r="B18" s="17" t="s">
        <v>188</v>
      </c>
      <c r="C18" s="17"/>
    </row>
    <row r="19" spans="1:3" ht="15.75" customHeight="1" x14ac:dyDescent="0.3">
      <c r="A19" s="25">
        <v>16</v>
      </c>
      <c r="B19" s="17" t="s">
        <v>189</v>
      </c>
      <c r="C19" s="17"/>
    </row>
    <row r="20" spans="1:3" ht="15.75" customHeight="1" x14ac:dyDescent="0.3">
      <c r="A20" s="25">
        <v>17</v>
      </c>
      <c r="B20" s="17" t="s">
        <v>190</v>
      </c>
      <c r="C20" s="17"/>
    </row>
    <row r="21" spans="1:3" ht="15.75" customHeight="1" x14ac:dyDescent="0.3">
      <c r="A21" s="25">
        <v>18</v>
      </c>
      <c r="B21" s="17" t="s">
        <v>191</v>
      </c>
      <c r="C21" s="17"/>
    </row>
    <row r="22" spans="1:3" ht="15.75" customHeight="1" x14ac:dyDescent="0.3">
      <c r="A22" s="25">
        <v>19</v>
      </c>
      <c r="B22" s="17" t="s">
        <v>192</v>
      </c>
      <c r="C22" s="17"/>
    </row>
    <row r="23" spans="1:3" ht="15.75" customHeight="1" x14ac:dyDescent="0.3">
      <c r="A23" s="25">
        <v>20</v>
      </c>
      <c r="B23" s="17" t="s">
        <v>193</v>
      </c>
      <c r="C23" s="17"/>
    </row>
    <row r="24" spans="1:3" ht="15.75" customHeight="1" x14ac:dyDescent="0.3">
      <c r="A24" s="25">
        <v>21</v>
      </c>
      <c r="B24" s="17" t="s">
        <v>194</v>
      </c>
      <c r="C24" s="17"/>
    </row>
    <row r="25" spans="1:3" ht="15.75" customHeight="1" x14ac:dyDescent="0.3">
      <c r="A25" s="25">
        <v>22</v>
      </c>
      <c r="B25" s="17" t="s">
        <v>195</v>
      </c>
      <c r="C25" s="17"/>
    </row>
    <row r="26" spans="1:3" ht="15.75" customHeight="1" x14ac:dyDescent="0.3">
      <c r="A26" s="25">
        <v>23</v>
      </c>
      <c r="B26" s="17" t="s">
        <v>196</v>
      </c>
      <c r="C26" s="17"/>
    </row>
    <row r="27" spans="1:3" ht="15.75" customHeight="1" x14ac:dyDescent="0.3">
      <c r="A27" s="25">
        <v>24</v>
      </c>
      <c r="B27" s="17" t="s">
        <v>197</v>
      </c>
      <c r="C27" s="17"/>
    </row>
    <row r="28" spans="1:3" ht="15.75" customHeight="1" x14ac:dyDescent="0.3">
      <c r="A28" s="25">
        <v>25</v>
      </c>
      <c r="B28" s="17" t="s">
        <v>198</v>
      </c>
      <c r="C28" s="17"/>
    </row>
    <row r="29" spans="1:3" ht="15.75" customHeight="1" x14ac:dyDescent="0.3">
      <c r="A29" s="25">
        <v>26</v>
      </c>
      <c r="B29" s="17" t="s">
        <v>199</v>
      </c>
      <c r="C29" s="17"/>
    </row>
    <row r="30" spans="1:3" ht="15.75" customHeight="1" x14ac:dyDescent="0.3">
      <c r="A30" s="25">
        <v>27</v>
      </c>
      <c r="B30" s="17" t="s">
        <v>200</v>
      </c>
      <c r="C30" s="17"/>
    </row>
    <row r="31" spans="1:3" ht="15.75" customHeight="1" x14ac:dyDescent="0.3">
      <c r="A31" s="25">
        <v>28</v>
      </c>
      <c r="B31" s="17" t="s">
        <v>201</v>
      </c>
      <c r="C31" s="17"/>
    </row>
    <row r="32" spans="1:3" ht="15.75" customHeight="1" x14ac:dyDescent="0.3">
      <c r="A32" s="25">
        <v>29</v>
      </c>
      <c r="B32" s="17" t="s">
        <v>202</v>
      </c>
      <c r="C32" s="17"/>
    </row>
    <row r="33" spans="1:3" ht="15.75" customHeight="1" x14ac:dyDescent="0.3">
      <c r="A33" s="25">
        <v>30</v>
      </c>
      <c r="B33" s="17" t="s">
        <v>203</v>
      </c>
      <c r="C33" s="17"/>
    </row>
    <row r="34" spans="1:3" ht="15.75" customHeight="1" x14ac:dyDescent="0.3">
      <c r="A34" s="25">
        <v>31</v>
      </c>
      <c r="B34" s="17" t="s">
        <v>204</v>
      </c>
      <c r="C34" s="17"/>
    </row>
    <row r="35" spans="1:3" ht="15.75" customHeight="1" x14ac:dyDescent="0.3">
      <c r="A35" s="25">
        <v>32</v>
      </c>
      <c r="B35" s="17" t="s">
        <v>205</v>
      </c>
      <c r="C35" s="17"/>
    </row>
    <row r="36" spans="1:3" ht="15.75" customHeight="1" x14ac:dyDescent="0.3">
      <c r="A36" s="25">
        <v>33</v>
      </c>
      <c r="B36" s="17" t="s">
        <v>206</v>
      </c>
      <c r="C36" s="17"/>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499984740745262"/>
  </sheetPr>
  <dimension ref="A1:K114"/>
  <sheetViews>
    <sheetView showGridLines="0" zoomScaleNormal="100" workbookViewId="0">
      <pane ySplit="3" topLeftCell="A88" activePane="bottomLeft" state="frozen"/>
      <selection pane="bottomLeft" activeCell="H88" sqref="H88:H90"/>
    </sheetView>
  </sheetViews>
  <sheetFormatPr defaultColWidth="8.6640625" defaultRowHeight="15.6" x14ac:dyDescent="0.3"/>
  <cols>
    <col min="1" max="1" width="45.77734375" style="11" customWidth="1"/>
    <col min="2" max="2" width="17.109375" style="11" customWidth="1"/>
    <col min="3" max="3" width="26.77734375" style="11" customWidth="1"/>
    <col min="4" max="6" width="21.33203125" style="11" customWidth="1"/>
    <col min="7" max="8" width="17.109375" style="11" customWidth="1"/>
    <col min="9" max="9" width="14" style="11" customWidth="1"/>
    <col min="10" max="10" width="13" style="11" customWidth="1"/>
    <col min="11" max="11" width="55" style="11" customWidth="1"/>
    <col min="12" max="16384" width="8.6640625" style="11"/>
  </cols>
  <sheetData>
    <row r="1" spans="1:11" ht="25.5" customHeight="1" x14ac:dyDescent="0.3">
      <c r="A1" s="86" t="s">
        <v>776</v>
      </c>
      <c r="B1" s="86"/>
      <c r="C1" s="86"/>
      <c r="D1" s="86"/>
      <c r="E1" s="86"/>
      <c r="F1" s="86"/>
      <c r="G1" s="86"/>
      <c r="H1" s="86"/>
      <c r="I1" s="86"/>
      <c r="J1" s="86"/>
      <c r="K1" s="86"/>
    </row>
    <row r="2" spans="1:11" x14ac:dyDescent="0.3">
      <c r="A2" s="80" t="s">
        <v>207</v>
      </c>
      <c r="B2" s="80"/>
      <c r="C2" s="80"/>
      <c r="D2" s="80"/>
      <c r="E2" s="80"/>
      <c r="F2" s="80"/>
      <c r="G2" s="80"/>
      <c r="H2" s="80"/>
      <c r="I2" s="80"/>
      <c r="J2" s="80"/>
      <c r="K2" s="80"/>
    </row>
    <row r="3" spans="1:11" ht="30" customHeight="1" x14ac:dyDescent="0.3">
      <c r="A3" s="43" t="s">
        <v>208</v>
      </c>
      <c r="B3" s="43" t="s">
        <v>775</v>
      </c>
      <c r="C3" s="43" t="s">
        <v>209</v>
      </c>
      <c r="D3" s="43" t="s">
        <v>210</v>
      </c>
      <c r="E3" s="43" t="s">
        <v>211</v>
      </c>
      <c r="F3" s="43" t="s">
        <v>212</v>
      </c>
      <c r="G3" s="43" t="s">
        <v>213</v>
      </c>
      <c r="H3" s="43" t="s">
        <v>214</v>
      </c>
      <c r="I3" s="43" t="s">
        <v>215</v>
      </c>
      <c r="J3" s="43" t="s">
        <v>216</v>
      </c>
      <c r="K3" s="43" t="s">
        <v>217</v>
      </c>
    </row>
    <row r="4" spans="1:11" ht="31.5" customHeight="1" x14ac:dyDescent="0.3">
      <c r="A4" s="31" t="s">
        <v>218</v>
      </c>
      <c r="B4" s="25" t="s">
        <v>219</v>
      </c>
      <c r="C4" s="14" t="s">
        <v>220</v>
      </c>
      <c r="D4" s="25" t="s">
        <v>54</v>
      </c>
      <c r="E4" s="25">
        <v>30</v>
      </c>
      <c r="F4" s="32"/>
      <c r="G4" s="32"/>
      <c r="H4" s="32">
        <v>13.9</v>
      </c>
      <c r="I4" s="33">
        <f>IF(E4=0,0,H4/E4*100)</f>
        <v>46.333333333333329</v>
      </c>
      <c r="J4" s="25" t="str">
        <f>IFERROR(VLOOKUP(I4,Grading_Scale!$A$3:$B$12,2,TRUE()),"")</f>
        <v>Prachesta-2</v>
      </c>
      <c r="K4" s="34" t="s">
        <v>221</v>
      </c>
    </row>
    <row r="5" spans="1:11" ht="31.5" customHeight="1" x14ac:dyDescent="0.3">
      <c r="A5" s="31" t="s">
        <v>218</v>
      </c>
      <c r="B5" s="25" t="s">
        <v>222</v>
      </c>
      <c r="C5" s="14" t="s">
        <v>223</v>
      </c>
      <c r="D5" s="25" t="s">
        <v>54</v>
      </c>
      <c r="E5" s="25">
        <v>30</v>
      </c>
      <c r="F5" s="32"/>
      <c r="G5" s="32"/>
      <c r="H5" s="32">
        <v>11.5</v>
      </c>
      <c r="I5" s="33">
        <f t="shared" ref="I5:I35" si="0">IF(E5=0,0,H5/E5*100)</f>
        <v>38.333333333333336</v>
      </c>
      <c r="J5" s="25" t="str">
        <f>IFERROR(VLOOKUP(I5,Grading_Scale!$A$3:$B$12,2,TRUE()),"")</f>
        <v>Prachesta-3</v>
      </c>
      <c r="K5" s="34"/>
    </row>
    <row r="6" spans="1:11" ht="31.5" customHeight="1" x14ac:dyDescent="0.3">
      <c r="A6" s="31" t="s">
        <v>218</v>
      </c>
      <c r="B6" s="25" t="s">
        <v>224</v>
      </c>
      <c r="C6" s="14" t="s">
        <v>225</v>
      </c>
      <c r="D6" s="25" t="s">
        <v>54</v>
      </c>
      <c r="E6" s="25">
        <v>30</v>
      </c>
      <c r="F6" s="32"/>
      <c r="G6" s="32"/>
      <c r="H6" s="32">
        <v>6.6</v>
      </c>
      <c r="I6" s="33">
        <f t="shared" si="0"/>
        <v>22</v>
      </c>
      <c r="J6" s="25" t="str">
        <f>IFERROR(VLOOKUP(I6,Grading_Scale!$A$3:$B$12,2,TRUE()),"")</f>
        <v>Akanshi-1</v>
      </c>
      <c r="K6" s="34"/>
    </row>
    <row r="7" spans="1:11" ht="31.5" customHeight="1" x14ac:dyDescent="0.3">
      <c r="A7" s="31" t="s">
        <v>218</v>
      </c>
      <c r="B7" s="25" t="s">
        <v>226</v>
      </c>
      <c r="C7" s="14" t="s">
        <v>227</v>
      </c>
      <c r="D7" s="25" t="s">
        <v>54</v>
      </c>
      <c r="E7" s="25">
        <v>25</v>
      </c>
      <c r="F7" s="32"/>
      <c r="G7" s="32"/>
      <c r="H7" s="32">
        <v>5.9</v>
      </c>
      <c r="I7" s="33">
        <f t="shared" si="0"/>
        <v>23.6</v>
      </c>
      <c r="J7" s="25" t="str">
        <f>IFERROR(VLOOKUP(I7,Grading_Scale!$A$3:$B$12,2,TRUE()),"")</f>
        <v>Akanshi-1</v>
      </c>
      <c r="K7" s="34"/>
    </row>
    <row r="8" spans="1:11" ht="31.5" customHeight="1" x14ac:dyDescent="0.3">
      <c r="A8" s="31" t="s">
        <v>218</v>
      </c>
      <c r="B8" s="25" t="s">
        <v>228</v>
      </c>
      <c r="C8" s="14" t="s">
        <v>229</v>
      </c>
      <c r="D8" s="25" t="s">
        <v>54</v>
      </c>
      <c r="E8" s="25">
        <v>25</v>
      </c>
      <c r="F8" s="32"/>
      <c r="G8" s="32"/>
      <c r="H8" s="32">
        <v>6.6</v>
      </c>
      <c r="I8" s="33">
        <f t="shared" si="0"/>
        <v>26.400000000000002</v>
      </c>
      <c r="J8" s="25" t="str">
        <f>IFERROR(VLOOKUP(I8,Grading_Scale!$A$3:$B$12,2,TRUE()),"")</f>
        <v>Akanshi-1</v>
      </c>
      <c r="K8" s="34"/>
    </row>
    <row r="9" spans="1:11" ht="31.5" customHeight="1" x14ac:dyDescent="0.3">
      <c r="A9" s="31" t="s">
        <v>218</v>
      </c>
      <c r="B9" s="25" t="s">
        <v>230</v>
      </c>
      <c r="C9" s="14" t="s">
        <v>231</v>
      </c>
      <c r="D9" s="25" t="s">
        <v>54</v>
      </c>
      <c r="E9" s="25">
        <v>25</v>
      </c>
      <c r="F9" s="32"/>
      <c r="G9" s="32"/>
      <c r="H9" s="32">
        <v>6</v>
      </c>
      <c r="I9" s="33">
        <f t="shared" si="0"/>
        <v>24</v>
      </c>
      <c r="J9" s="25" t="str">
        <f>IFERROR(VLOOKUP(I9,Grading_Scale!$A$3:$B$12,2,TRUE()),"")</f>
        <v>Akanshi-1</v>
      </c>
      <c r="K9" s="34"/>
    </row>
    <row r="10" spans="1:11" ht="31.5" customHeight="1" x14ac:dyDescent="0.3">
      <c r="A10" s="31" t="s">
        <v>218</v>
      </c>
      <c r="B10" s="25" t="s">
        <v>232</v>
      </c>
      <c r="C10" s="14" t="s">
        <v>233</v>
      </c>
      <c r="D10" s="25" t="s">
        <v>54</v>
      </c>
      <c r="E10" s="25">
        <v>25</v>
      </c>
      <c r="F10" s="32"/>
      <c r="G10" s="32"/>
      <c r="H10" s="32">
        <v>0.9</v>
      </c>
      <c r="I10" s="33">
        <f t="shared" si="0"/>
        <v>3.6000000000000005</v>
      </c>
      <c r="J10" s="25" t="str">
        <f>IFERROR(VLOOKUP(I10,Grading_Scale!$A$3:$B$12,2,TRUE()),"")</f>
        <v>Akanshi-3</v>
      </c>
      <c r="K10" s="34"/>
    </row>
    <row r="11" spans="1:11" ht="31.5" customHeight="1" x14ac:dyDescent="0.3">
      <c r="A11" s="31" t="s">
        <v>218</v>
      </c>
      <c r="B11" s="25" t="s">
        <v>234</v>
      </c>
      <c r="C11" s="14" t="s">
        <v>235</v>
      </c>
      <c r="D11" s="25" t="s">
        <v>54</v>
      </c>
      <c r="E11" s="25">
        <v>25</v>
      </c>
      <c r="F11" s="32"/>
      <c r="G11" s="32"/>
      <c r="H11" s="32">
        <v>2.1</v>
      </c>
      <c r="I11" s="33">
        <f t="shared" si="0"/>
        <v>8.4</v>
      </c>
      <c r="J11" s="25" t="str">
        <f>IFERROR(VLOOKUP(I11,Grading_Scale!$A$3:$B$12,2,TRUE()),"")</f>
        <v>Akanshi-3</v>
      </c>
      <c r="K11" s="34"/>
    </row>
    <row r="12" spans="1:11" ht="31.5" customHeight="1" x14ac:dyDescent="0.3">
      <c r="A12" s="31" t="s">
        <v>218</v>
      </c>
      <c r="B12" s="25" t="s">
        <v>236</v>
      </c>
      <c r="C12" s="14" t="s">
        <v>237</v>
      </c>
      <c r="D12" s="25" t="s">
        <v>54</v>
      </c>
      <c r="E12" s="25">
        <v>25</v>
      </c>
      <c r="F12" s="32"/>
      <c r="G12" s="32"/>
      <c r="H12" s="32">
        <v>5</v>
      </c>
      <c r="I12" s="33">
        <f t="shared" si="0"/>
        <v>20</v>
      </c>
      <c r="J12" s="25" t="str">
        <f>IFERROR(VLOOKUP(I12,Grading_Scale!$A$3:$B$12,2,TRUE()),"")</f>
        <v>Akanshi-2</v>
      </c>
      <c r="K12" s="34"/>
    </row>
    <row r="13" spans="1:11" ht="31.5" customHeight="1" x14ac:dyDescent="0.3">
      <c r="A13" s="31" t="s">
        <v>238</v>
      </c>
      <c r="B13" s="25" t="s">
        <v>239</v>
      </c>
      <c r="C13" s="14" t="s">
        <v>240</v>
      </c>
      <c r="D13" s="25" t="s">
        <v>241</v>
      </c>
      <c r="E13" s="25">
        <v>10</v>
      </c>
      <c r="F13" s="32"/>
      <c r="G13" s="32"/>
      <c r="H13" s="32">
        <v>6.4</v>
      </c>
      <c r="I13" s="33">
        <f t="shared" si="0"/>
        <v>64</v>
      </c>
      <c r="J13" s="25" t="str">
        <f>IFERROR(VLOOKUP(I13,Grading_Scale!$A$3:$B$12,2,TRUE()),"")</f>
        <v>Uttam</v>
      </c>
      <c r="K13" s="34"/>
    </row>
    <row r="14" spans="1:11" ht="31.5" customHeight="1" x14ac:dyDescent="0.3">
      <c r="A14" s="31" t="s">
        <v>238</v>
      </c>
      <c r="B14" s="25" t="s">
        <v>242</v>
      </c>
      <c r="C14" s="14" t="s">
        <v>243</v>
      </c>
      <c r="D14" s="25" t="s">
        <v>241</v>
      </c>
      <c r="E14" s="25">
        <v>10</v>
      </c>
      <c r="F14" s="32"/>
      <c r="G14" s="32"/>
      <c r="H14" s="32">
        <v>2.4</v>
      </c>
      <c r="I14" s="33">
        <f t="shared" si="0"/>
        <v>24</v>
      </c>
      <c r="J14" s="25" t="str">
        <f>IFERROR(VLOOKUP(I14,Grading_Scale!$A$3:$B$12,2,TRUE()),"")</f>
        <v>Akanshi-1</v>
      </c>
      <c r="K14" s="34"/>
    </row>
    <row r="15" spans="1:11" ht="31.5" customHeight="1" x14ac:dyDescent="0.3">
      <c r="A15" s="31" t="s">
        <v>238</v>
      </c>
      <c r="B15" s="25" t="s">
        <v>244</v>
      </c>
      <c r="C15" s="14" t="s">
        <v>245</v>
      </c>
      <c r="D15" s="25" t="s">
        <v>241</v>
      </c>
      <c r="E15" s="25">
        <v>10</v>
      </c>
      <c r="F15" s="32"/>
      <c r="G15" s="32"/>
      <c r="H15" s="32">
        <v>10</v>
      </c>
      <c r="I15" s="33">
        <f t="shared" si="0"/>
        <v>100</v>
      </c>
      <c r="J15" s="25" t="str">
        <f>IFERROR(VLOOKUP(I15,Grading_Scale!$A$3:$B$12,2,TRUE()),"")</f>
        <v>Daksh</v>
      </c>
      <c r="K15" s="34"/>
    </row>
    <row r="16" spans="1:11" ht="31.5" customHeight="1" x14ac:dyDescent="0.3">
      <c r="A16" s="31" t="s">
        <v>238</v>
      </c>
      <c r="B16" s="25" t="s">
        <v>246</v>
      </c>
      <c r="C16" s="14" t="s">
        <v>247</v>
      </c>
      <c r="D16" s="25" t="s">
        <v>241</v>
      </c>
      <c r="E16" s="25">
        <v>10</v>
      </c>
      <c r="F16" s="32"/>
      <c r="G16" s="32"/>
      <c r="H16" s="32">
        <v>9.1</v>
      </c>
      <c r="I16" s="33">
        <f t="shared" si="0"/>
        <v>90.999999999999986</v>
      </c>
      <c r="J16" s="25" t="str">
        <f>IFERROR(VLOOKUP(I16,Grading_Scale!$A$3:$B$12,2,TRUE()),"")</f>
        <v>Utkarsh</v>
      </c>
      <c r="K16" s="34"/>
    </row>
    <row r="17" spans="1:11" ht="31.5" customHeight="1" x14ac:dyDescent="0.3">
      <c r="A17" s="31" t="s">
        <v>238</v>
      </c>
      <c r="B17" s="25" t="s">
        <v>248</v>
      </c>
      <c r="C17" s="14" t="s">
        <v>249</v>
      </c>
      <c r="D17" s="25" t="s">
        <v>241</v>
      </c>
      <c r="E17" s="25">
        <v>10</v>
      </c>
      <c r="F17" s="32"/>
      <c r="G17" s="32"/>
      <c r="H17" s="32">
        <v>7.1</v>
      </c>
      <c r="I17" s="33">
        <f t="shared" si="0"/>
        <v>71</v>
      </c>
      <c r="J17" s="25" t="str">
        <f>IFERROR(VLOOKUP(I17,Grading_Scale!$A$3:$B$12,2,TRUE()),"")</f>
        <v>Atti-Uttam</v>
      </c>
      <c r="K17" s="34"/>
    </row>
    <row r="18" spans="1:11" ht="31.5" customHeight="1" x14ac:dyDescent="0.3">
      <c r="A18" s="31" t="s">
        <v>238</v>
      </c>
      <c r="B18" s="25" t="s">
        <v>250</v>
      </c>
      <c r="C18" s="14" t="s">
        <v>251</v>
      </c>
      <c r="D18" s="25" t="s">
        <v>241</v>
      </c>
      <c r="E18" s="25">
        <v>10</v>
      </c>
      <c r="F18" s="32"/>
      <c r="G18" s="32"/>
      <c r="H18" s="32">
        <v>9.3000000000000007</v>
      </c>
      <c r="I18" s="33">
        <f t="shared" si="0"/>
        <v>93</v>
      </c>
      <c r="J18" s="25" t="str">
        <f>IFERROR(VLOOKUP(I18,Grading_Scale!$A$3:$B$12,2,TRUE()),"")</f>
        <v>Daksh</v>
      </c>
      <c r="K18" s="34"/>
    </row>
    <row r="19" spans="1:11" ht="31.5" customHeight="1" x14ac:dyDescent="0.3">
      <c r="A19" s="31" t="s">
        <v>238</v>
      </c>
      <c r="B19" s="25" t="s">
        <v>252</v>
      </c>
      <c r="C19" s="14" t="s">
        <v>253</v>
      </c>
      <c r="D19" s="25" t="s">
        <v>241</v>
      </c>
      <c r="E19" s="25">
        <v>10</v>
      </c>
      <c r="F19" s="32"/>
      <c r="G19" s="32"/>
      <c r="H19" s="32">
        <v>8.9</v>
      </c>
      <c r="I19" s="33">
        <f t="shared" si="0"/>
        <v>89</v>
      </c>
      <c r="J19" s="25" t="str">
        <f>IFERROR(VLOOKUP(I19,Grading_Scale!$A$3:$B$12,2,TRUE()),"")</f>
        <v>Utkarsh</v>
      </c>
      <c r="K19" s="34"/>
    </row>
    <row r="20" spans="1:11" ht="31.5" customHeight="1" x14ac:dyDescent="0.3">
      <c r="A20" s="31" t="s">
        <v>238</v>
      </c>
      <c r="B20" s="25" t="s">
        <v>254</v>
      </c>
      <c r="C20" s="14" t="s">
        <v>255</v>
      </c>
      <c r="D20" s="25" t="s">
        <v>241</v>
      </c>
      <c r="E20" s="25">
        <v>10</v>
      </c>
      <c r="F20" s="32"/>
      <c r="G20" s="32"/>
      <c r="H20" s="32">
        <v>9.1999999999999993</v>
      </c>
      <c r="I20" s="33">
        <f t="shared" si="0"/>
        <v>92</v>
      </c>
      <c r="J20" s="25" t="str">
        <f>IFERROR(VLOOKUP(I20,Grading_Scale!$A$3:$B$12,2,TRUE()),"")</f>
        <v>Daksh</v>
      </c>
      <c r="K20" s="34"/>
    </row>
    <row r="21" spans="1:11" ht="31.5" customHeight="1" x14ac:dyDescent="0.3">
      <c r="A21" s="31" t="s">
        <v>256</v>
      </c>
      <c r="B21" s="25" t="s">
        <v>257</v>
      </c>
      <c r="C21" s="14" t="s">
        <v>258</v>
      </c>
      <c r="D21" s="25" t="s">
        <v>241</v>
      </c>
      <c r="E21" s="25">
        <v>10</v>
      </c>
      <c r="F21" s="32"/>
      <c r="G21" s="32"/>
      <c r="H21" s="32">
        <v>6</v>
      </c>
      <c r="I21" s="33">
        <f t="shared" si="0"/>
        <v>60</v>
      </c>
      <c r="J21" s="25" t="str">
        <f>IFERROR(VLOOKUP(I21,Grading_Scale!$A$3:$B$12,2,TRUE()),"")</f>
        <v>Prachesta-1</v>
      </c>
      <c r="K21" s="34"/>
    </row>
    <row r="22" spans="1:11" ht="31.5" customHeight="1" x14ac:dyDescent="0.3">
      <c r="A22" s="31" t="s">
        <v>256</v>
      </c>
      <c r="B22" s="25" t="s">
        <v>259</v>
      </c>
      <c r="C22" s="14" t="s">
        <v>260</v>
      </c>
      <c r="D22" s="25" t="s">
        <v>241</v>
      </c>
      <c r="E22" s="25">
        <v>10</v>
      </c>
      <c r="F22" s="32"/>
      <c r="G22" s="32"/>
      <c r="H22" s="32">
        <v>4.7</v>
      </c>
      <c r="I22" s="33">
        <f t="shared" si="0"/>
        <v>47</v>
      </c>
      <c r="J22" s="25" t="str">
        <f>IFERROR(VLOOKUP(I22,Grading_Scale!$A$3:$B$12,2,TRUE()),"")</f>
        <v>Prachesta-2</v>
      </c>
      <c r="K22" s="34"/>
    </row>
    <row r="23" spans="1:11" ht="31.5" customHeight="1" x14ac:dyDescent="0.3">
      <c r="A23" s="31" t="s">
        <v>256</v>
      </c>
      <c r="B23" s="25" t="s">
        <v>261</v>
      </c>
      <c r="C23" s="14" t="s">
        <v>262</v>
      </c>
      <c r="D23" s="25" t="s">
        <v>241</v>
      </c>
      <c r="E23" s="25">
        <v>5</v>
      </c>
      <c r="F23" s="32"/>
      <c r="G23" s="32"/>
      <c r="H23" s="32">
        <v>2.2999999999999998</v>
      </c>
      <c r="I23" s="33">
        <f t="shared" si="0"/>
        <v>46</v>
      </c>
      <c r="J23" s="25" t="str">
        <f>IFERROR(VLOOKUP(I23,Grading_Scale!$A$3:$B$12,2,TRUE()),"")</f>
        <v>Prachesta-2</v>
      </c>
      <c r="K23" s="34"/>
    </row>
    <row r="24" spans="1:11" ht="31.5" customHeight="1" x14ac:dyDescent="0.3">
      <c r="A24" s="31" t="s">
        <v>256</v>
      </c>
      <c r="B24" s="25" t="s">
        <v>263</v>
      </c>
      <c r="C24" s="14" t="s">
        <v>264</v>
      </c>
      <c r="D24" s="25" t="s">
        <v>241</v>
      </c>
      <c r="E24" s="25">
        <v>5</v>
      </c>
      <c r="F24" s="32"/>
      <c r="G24" s="32"/>
      <c r="H24" s="32">
        <v>4.2</v>
      </c>
      <c r="I24" s="33">
        <f t="shared" si="0"/>
        <v>84.000000000000014</v>
      </c>
      <c r="J24" s="25" t="str">
        <f>IFERROR(VLOOKUP(I24,Grading_Scale!$A$3:$B$12,2,TRUE()),"")</f>
        <v>Utkarsh</v>
      </c>
      <c r="K24" s="34"/>
    </row>
    <row r="25" spans="1:11" ht="31.5" customHeight="1" x14ac:dyDescent="0.3">
      <c r="A25" s="31" t="s">
        <v>256</v>
      </c>
      <c r="B25" s="25" t="s">
        <v>265</v>
      </c>
      <c r="C25" s="14" t="s">
        <v>266</v>
      </c>
      <c r="D25" s="25" t="s">
        <v>241</v>
      </c>
      <c r="E25" s="25">
        <v>5</v>
      </c>
      <c r="F25" s="32"/>
      <c r="G25" s="32"/>
      <c r="H25" s="32">
        <v>2.2000000000000002</v>
      </c>
      <c r="I25" s="33">
        <f t="shared" si="0"/>
        <v>44.000000000000007</v>
      </c>
      <c r="J25" s="25" t="str">
        <f>IFERROR(VLOOKUP(I25,Grading_Scale!$A$3:$B$12,2,TRUE()),"")</f>
        <v>Prachesta-2</v>
      </c>
      <c r="K25" s="34"/>
    </row>
    <row r="26" spans="1:11" ht="31.5" customHeight="1" x14ac:dyDescent="0.3">
      <c r="A26" s="31" t="s">
        <v>256</v>
      </c>
      <c r="B26" s="25" t="s">
        <v>267</v>
      </c>
      <c r="C26" s="14" t="s">
        <v>268</v>
      </c>
      <c r="D26" s="25" t="s">
        <v>241</v>
      </c>
      <c r="E26" s="25">
        <v>5</v>
      </c>
      <c r="F26" s="32"/>
      <c r="G26" s="32"/>
      <c r="H26" s="32">
        <v>4.8</v>
      </c>
      <c r="I26" s="33">
        <f t="shared" si="0"/>
        <v>96</v>
      </c>
      <c r="J26" s="25" t="str">
        <f>IFERROR(VLOOKUP(I26,Grading_Scale!$A$3:$B$12,2,TRUE()),"")</f>
        <v>Daksh</v>
      </c>
      <c r="K26" s="34"/>
    </row>
    <row r="27" spans="1:11" ht="31.5" customHeight="1" x14ac:dyDescent="0.3">
      <c r="A27" s="31" t="s">
        <v>256</v>
      </c>
      <c r="B27" s="25" t="s">
        <v>269</v>
      </c>
      <c r="C27" s="14" t="s">
        <v>270</v>
      </c>
      <c r="D27" s="25" t="s">
        <v>241</v>
      </c>
      <c r="E27" s="25">
        <v>5</v>
      </c>
      <c r="F27" s="32"/>
      <c r="G27" s="32"/>
      <c r="H27" s="32">
        <v>1.4</v>
      </c>
      <c r="I27" s="33">
        <f t="shared" si="0"/>
        <v>27.999999999999996</v>
      </c>
      <c r="J27" s="25" t="str">
        <f>IFERROR(VLOOKUP(I27,Grading_Scale!$A$3:$B$12,2,TRUE()),"")</f>
        <v>Akanshi-1</v>
      </c>
      <c r="K27" s="34"/>
    </row>
    <row r="28" spans="1:11" ht="31.5" customHeight="1" x14ac:dyDescent="0.3">
      <c r="A28" s="31" t="s">
        <v>256</v>
      </c>
      <c r="B28" s="25" t="s">
        <v>271</v>
      </c>
      <c r="C28" s="14" t="s">
        <v>272</v>
      </c>
      <c r="D28" s="25" t="s">
        <v>241</v>
      </c>
      <c r="E28" s="25">
        <v>5</v>
      </c>
      <c r="F28" s="32"/>
      <c r="G28" s="32"/>
      <c r="H28" s="32">
        <v>0.4</v>
      </c>
      <c r="I28" s="33">
        <f t="shared" si="0"/>
        <v>8</v>
      </c>
      <c r="J28" s="25" t="str">
        <f>IFERROR(VLOOKUP(I28,Grading_Scale!$A$3:$B$12,2,TRUE()),"")</f>
        <v>Akanshi-3</v>
      </c>
      <c r="K28" s="34"/>
    </row>
    <row r="29" spans="1:11" ht="31.5" customHeight="1" x14ac:dyDescent="0.3">
      <c r="A29" s="31" t="s">
        <v>256</v>
      </c>
      <c r="B29" s="25" t="s">
        <v>273</v>
      </c>
      <c r="C29" s="14" t="s">
        <v>274</v>
      </c>
      <c r="D29" s="25" t="s">
        <v>241</v>
      </c>
      <c r="E29" s="25">
        <v>10</v>
      </c>
      <c r="F29" s="32"/>
      <c r="G29" s="32"/>
      <c r="H29" s="32">
        <v>2.5</v>
      </c>
      <c r="I29" s="33">
        <f t="shared" si="0"/>
        <v>25</v>
      </c>
      <c r="J29" s="25" t="str">
        <f>IFERROR(VLOOKUP(I29,Grading_Scale!$A$3:$B$12,2,TRUE()),"")</f>
        <v>Akanshi-1</v>
      </c>
      <c r="K29" s="34"/>
    </row>
    <row r="30" spans="1:11" ht="31.5" customHeight="1" x14ac:dyDescent="0.3">
      <c r="A30" s="31" t="s">
        <v>256</v>
      </c>
      <c r="B30" s="25" t="s">
        <v>275</v>
      </c>
      <c r="C30" s="14" t="s">
        <v>276</v>
      </c>
      <c r="D30" s="25" t="s">
        <v>241</v>
      </c>
      <c r="E30" s="25">
        <v>5</v>
      </c>
      <c r="F30" s="32"/>
      <c r="G30" s="32"/>
      <c r="H30" s="32">
        <v>0.08</v>
      </c>
      <c r="I30" s="33">
        <f t="shared" si="0"/>
        <v>1.6</v>
      </c>
      <c r="J30" s="25" t="str">
        <f>IFERROR(VLOOKUP(I30,Grading_Scale!$A$3:$B$12,2,TRUE()),"")</f>
        <v>Akanshi-3</v>
      </c>
      <c r="K30" s="34"/>
    </row>
    <row r="31" spans="1:11" ht="31.5" customHeight="1" x14ac:dyDescent="0.3">
      <c r="A31" s="31" t="s">
        <v>256</v>
      </c>
      <c r="B31" s="25" t="s">
        <v>277</v>
      </c>
      <c r="C31" s="14" t="s">
        <v>278</v>
      </c>
      <c r="D31" s="25" t="s">
        <v>241</v>
      </c>
      <c r="E31" s="25">
        <v>5</v>
      </c>
      <c r="F31" s="32"/>
      <c r="G31" s="32"/>
      <c r="H31" s="32">
        <v>0.22</v>
      </c>
      <c r="I31" s="33">
        <f t="shared" si="0"/>
        <v>4.3999999999999995</v>
      </c>
      <c r="J31" s="25" t="str">
        <f>IFERROR(VLOOKUP(I31,Grading_Scale!$A$3:$B$12,2,TRUE()),"")</f>
        <v>Akanshi-3</v>
      </c>
      <c r="K31" s="34"/>
    </row>
    <row r="32" spans="1:11" ht="31.5" customHeight="1" x14ac:dyDescent="0.3">
      <c r="A32" s="31" t="s">
        <v>256</v>
      </c>
      <c r="B32" s="25" t="s">
        <v>279</v>
      </c>
      <c r="C32" s="14" t="s">
        <v>280</v>
      </c>
      <c r="D32" s="25" t="s">
        <v>241</v>
      </c>
      <c r="E32" s="25">
        <v>5</v>
      </c>
      <c r="F32" s="32"/>
      <c r="G32" s="32"/>
      <c r="H32" s="32">
        <v>0.24</v>
      </c>
      <c r="I32" s="33">
        <f t="shared" si="0"/>
        <v>4.8</v>
      </c>
      <c r="J32" s="25" t="str">
        <f>IFERROR(VLOOKUP(I32,Grading_Scale!$A$3:$B$12,2,TRUE()),"")</f>
        <v>Akanshi-3</v>
      </c>
      <c r="K32" s="34"/>
    </row>
    <row r="33" spans="1:11" ht="31.5" customHeight="1" x14ac:dyDescent="0.3">
      <c r="A33" s="31" t="s">
        <v>256</v>
      </c>
      <c r="B33" s="25" t="s">
        <v>281</v>
      </c>
      <c r="C33" s="14" t="s">
        <v>282</v>
      </c>
      <c r="D33" s="25" t="s">
        <v>241</v>
      </c>
      <c r="E33" s="25">
        <v>5</v>
      </c>
      <c r="F33" s="32"/>
      <c r="G33" s="32"/>
      <c r="H33" s="32">
        <v>0.33</v>
      </c>
      <c r="I33" s="33">
        <f t="shared" si="0"/>
        <v>6.6000000000000005</v>
      </c>
      <c r="J33" s="25" t="str">
        <f>IFERROR(VLOOKUP(I33,Grading_Scale!$A$3:$B$12,2,TRUE()),"")</f>
        <v>Akanshi-3</v>
      </c>
      <c r="K33" s="34"/>
    </row>
    <row r="34" spans="1:11" ht="31.5" customHeight="1" x14ac:dyDescent="0.3">
      <c r="A34" s="31" t="s">
        <v>256</v>
      </c>
      <c r="B34" s="25" t="s">
        <v>283</v>
      </c>
      <c r="C34" s="14" t="s">
        <v>284</v>
      </c>
      <c r="D34" s="25" t="s">
        <v>285</v>
      </c>
      <c r="E34" s="25">
        <v>10</v>
      </c>
      <c r="F34" s="32"/>
      <c r="G34" s="32"/>
      <c r="H34" s="32">
        <v>0</v>
      </c>
      <c r="I34" s="33">
        <f t="shared" si="0"/>
        <v>0</v>
      </c>
      <c r="J34" s="25" t="str">
        <f>IFERROR(VLOOKUP(I34,Grading_Scale!$A$3:$B$12,2,TRUE()),"")</f>
        <v>Akanshi-3</v>
      </c>
      <c r="K34" s="34"/>
    </row>
    <row r="35" spans="1:11" ht="31.5" customHeight="1" x14ac:dyDescent="0.3">
      <c r="A35" s="31" t="s">
        <v>256</v>
      </c>
      <c r="B35" s="25" t="s">
        <v>286</v>
      </c>
      <c r="C35" s="14" t="s">
        <v>287</v>
      </c>
      <c r="D35" s="25" t="s">
        <v>285</v>
      </c>
      <c r="E35" s="25">
        <v>10</v>
      </c>
      <c r="F35" s="32"/>
      <c r="G35" s="32"/>
      <c r="H35" s="32">
        <v>0</v>
      </c>
      <c r="I35" s="33">
        <f t="shared" si="0"/>
        <v>0</v>
      </c>
      <c r="J35" s="25" t="str">
        <f>IFERROR(VLOOKUP(I35,Grading_Scale!$A$3:$B$12,2,TRUE()),"")</f>
        <v>Akanshi-3</v>
      </c>
      <c r="K35" s="34"/>
    </row>
    <row r="36" spans="1:11" ht="31.5" customHeight="1" x14ac:dyDescent="0.3">
      <c r="A36" s="31" t="s">
        <v>256</v>
      </c>
      <c r="B36" s="25" t="s">
        <v>288</v>
      </c>
      <c r="C36" s="14" t="s">
        <v>289</v>
      </c>
      <c r="D36" s="25" t="s">
        <v>241</v>
      </c>
      <c r="E36" s="25">
        <v>10</v>
      </c>
      <c r="F36" s="32"/>
      <c r="G36" s="32"/>
      <c r="H36" s="32">
        <v>8.5</v>
      </c>
      <c r="I36" s="33">
        <f t="shared" ref="I36:I67" si="1">IF(E36=0,0,H36/E36*100)</f>
        <v>85</v>
      </c>
      <c r="J36" s="25" t="str">
        <f>IFERROR(VLOOKUP(I36,Grading_Scale!$A$3:$B$12,2,TRUE()),"")</f>
        <v>Utkarsh</v>
      </c>
      <c r="K36" s="34"/>
    </row>
    <row r="37" spans="1:11" ht="31.5" customHeight="1" x14ac:dyDescent="0.3">
      <c r="A37" s="31" t="s">
        <v>256</v>
      </c>
      <c r="B37" s="25" t="s">
        <v>290</v>
      </c>
      <c r="C37" s="14" t="s">
        <v>291</v>
      </c>
      <c r="D37" s="25" t="s">
        <v>241</v>
      </c>
      <c r="E37" s="25">
        <v>10</v>
      </c>
      <c r="F37" s="32"/>
      <c r="G37" s="32"/>
      <c r="H37" s="32">
        <v>3.3</v>
      </c>
      <c r="I37" s="33">
        <f t="shared" si="1"/>
        <v>32.999999999999993</v>
      </c>
      <c r="J37" s="25" t="str">
        <f>IFERROR(VLOOKUP(I37,Grading_Scale!$A$3:$B$12,2,TRUE()),"")</f>
        <v>Prachesta-3</v>
      </c>
      <c r="K37" s="34"/>
    </row>
    <row r="38" spans="1:11" ht="31.5" customHeight="1" x14ac:dyDescent="0.3">
      <c r="A38" s="31" t="s">
        <v>256</v>
      </c>
      <c r="B38" s="25" t="s">
        <v>292</v>
      </c>
      <c r="C38" s="14" t="s">
        <v>293</v>
      </c>
      <c r="D38" s="25" t="s">
        <v>241</v>
      </c>
      <c r="E38" s="25">
        <v>10</v>
      </c>
      <c r="F38" s="32"/>
      <c r="G38" s="32"/>
      <c r="H38" s="32">
        <v>4.9000000000000004</v>
      </c>
      <c r="I38" s="33">
        <f t="shared" si="1"/>
        <v>49.000000000000007</v>
      </c>
      <c r="J38" s="25" t="str">
        <f>IFERROR(VLOOKUP(I38,Grading_Scale!$A$3:$B$12,2,TRUE()),"")</f>
        <v>Prachesta-2</v>
      </c>
      <c r="K38" s="34"/>
    </row>
    <row r="39" spans="1:11" ht="31.5" customHeight="1" x14ac:dyDescent="0.3">
      <c r="A39" s="31" t="s">
        <v>256</v>
      </c>
      <c r="B39" s="25" t="s">
        <v>294</v>
      </c>
      <c r="C39" s="14" t="s">
        <v>295</v>
      </c>
      <c r="D39" s="25" t="s">
        <v>241</v>
      </c>
      <c r="E39" s="25">
        <v>10</v>
      </c>
      <c r="F39" s="32"/>
      <c r="G39" s="32"/>
      <c r="H39" s="32">
        <v>9.4</v>
      </c>
      <c r="I39" s="33">
        <f t="shared" si="1"/>
        <v>94</v>
      </c>
      <c r="J39" s="25" t="str">
        <f>IFERROR(VLOOKUP(I39,Grading_Scale!$A$3:$B$12,2,TRUE()),"")</f>
        <v>Daksh</v>
      </c>
      <c r="K39" s="34"/>
    </row>
    <row r="40" spans="1:11" ht="31.5" customHeight="1" x14ac:dyDescent="0.3">
      <c r="A40" s="31" t="s">
        <v>256</v>
      </c>
      <c r="B40" s="25" t="s">
        <v>296</v>
      </c>
      <c r="C40" s="14" t="s">
        <v>297</v>
      </c>
      <c r="D40" s="25" t="s">
        <v>241</v>
      </c>
      <c r="E40" s="25">
        <v>10</v>
      </c>
      <c r="F40" s="32"/>
      <c r="G40" s="32"/>
      <c r="H40" s="32">
        <v>8</v>
      </c>
      <c r="I40" s="33">
        <f t="shared" si="1"/>
        <v>80</v>
      </c>
      <c r="J40" s="25" t="str">
        <f>IFERROR(VLOOKUP(I40,Grading_Scale!$A$3:$B$12,2,TRUE()),"")</f>
        <v>Atti-Uttam</v>
      </c>
      <c r="K40" s="34"/>
    </row>
    <row r="41" spans="1:11" ht="31.5" customHeight="1" x14ac:dyDescent="0.3">
      <c r="A41" s="31" t="s">
        <v>256</v>
      </c>
      <c r="B41" s="25" t="s">
        <v>298</v>
      </c>
      <c r="C41" s="14" t="s">
        <v>299</v>
      </c>
      <c r="D41" s="25" t="s">
        <v>241</v>
      </c>
      <c r="E41" s="25">
        <v>10</v>
      </c>
      <c r="F41" s="32"/>
      <c r="G41" s="32"/>
      <c r="H41" s="32">
        <v>4.9000000000000004</v>
      </c>
      <c r="I41" s="33">
        <f t="shared" si="1"/>
        <v>49.000000000000007</v>
      </c>
      <c r="J41" s="25" t="str">
        <f>IFERROR(VLOOKUP(I41,Grading_Scale!$A$3:$B$12,2,TRUE()),"")</f>
        <v>Prachesta-2</v>
      </c>
      <c r="K41" s="34"/>
    </row>
    <row r="42" spans="1:11" ht="31.5" customHeight="1" x14ac:dyDescent="0.3">
      <c r="A42" s="31" t="s">
        <v>256</v>
      </c>
      <c r="B42" s="25" t="s">
        <v>300</v>
      </c>
      <c r="C42" s="14" t="s">
        <v>301</v>
      </c>
      <c r="D42" s="25" t="s">
        <v>241</v>
      </c>
      <c r="E42" s="25">
        <v>10</v>
      </c>
      <c r="F42" s="32"/>
      <c r="G42" s="32"/>
      <c r="H42" s="32">
        <v>2.2999999999999998</v>
      </c>
      <c r="I42" s="33">
        <f t="shared" si="1"/>
        <v>23</v>
      </c>
      <c r="J42" s="25" t="str">
        <f>IFERROR(VLOOKUP(I42,Grading_Scale!$A$3:$B$12,2,TRUE()),"")</f>
        <v>Akanshi-1</v>
      </c>
      <c r="K42" s="34"/>
    </row>
    <row r="43" spans="1:11" ht="31.5" customHeight="1" x14ac:dyDescent="0.3">
      <c r="A43" s="31" t="s">
        <v>256</v>
      </c>
      <c r="B43" s="25" t="s">
        <v>302</v>
      </c>
      <c r="C43" s="14" t="s">
        <v>303</v>
      </c>
      <c r="D43" s="25" t="s">
        <v>241</v>
      </c>
      <c r="E43" s="25">
        <v>10</v>
      </c>
      <c r="F43" s="32"/>
      <c r="G43" s="32"/>
      <c r="H43" s="32">
        <v>10</v>
      </c>
      <c r="I43" s="33">
        <f t="shared" si="1"/>
        <v>100</v>
      </c>
      <c r="J43" s="25" t="str">
        <f>IFERROR(VLOOKUP(I43,Grading_Scale!$A$3:$B$12,2,TRUE()),"")</f>
        <v>Daksh</v>
      </c>
      <c r="K43" s="34"/>
    </row>
    <row r="44" spans="1:11" ht="31.5" customHeight="1" x14ac:dyDescent="0.3">
      <c r="A44" s="31" t="s">
        <v>256</v>
      </c>
      <c r="B44" s="25" t="s">
        <v>304</v>
      </c>
      <c r="C44" s="14" t="s">
        <v>305</v>
      </c>
      <c r="D44" s="25" t="s">
        <v>241</v>
      </c>
      <c r="E44" s="25">
        <v>10</v>
      </c>
      <c r="F44" s="32"/>
      <c r="G44" s="32"/>
      <c r="H44" s="32">
        <v>0.7</v>
      </c>
      <c r="I44" s="33">
        <f t="shared" si="1"/>
        <v>6.9999999999999991</v>
      </c>
      <c r="J44" s="25" t="str">
        <f>IFERROR(VLOOKUP(I44,Grading_Scale!$A$3:$B$12,2,TRUE()),"")</f>
        <v>Akanshi-3</v>
      </c>
      <c r="K44" s="34"/>
    </row>
    <row r="45" spans="1:11" ht="31.5" customHeight="1" x14ac:dyDescent="0.3">
      <c r="A45" s="31" t="s">
        <v>306</v>
      </c>
      <c r="B45" s="25" t="s">
        <v>307</v>
      </c>
      <c r="C45" s="14" t="s">
        <v>308</v>
      </c>
      <c r="D45" s="25" t="s">
        <v>54</v>
      </c>
      <c r="E45" s="25">
        <v>5</v>
      </c>
      <c r="F45" s="32"/>
      <c r="G45" s="32"/>
      <c r="H45" s="32">
        <v>4.9000000000000004</v>
      </c>
      <c r="I45" s="33">
        <f t="shared" si="1"/>
        <v>98.000000000000014</v>
      </c>
      <c r="J45" s="25" t="str">
        <f>IFERROR(VLOOKUP(I45,Grading_Scale!$A$3:$B$12,2,TRUE()),"")</f>
        <v>Daksh</v>
      </c>
      <c r="K45" s="34"/>
    </row>
    <row r="46" spans="1:11" ht="31.5" customHeight="1" x14ac:dyDescent="0.3">
      <c r="A46" s="31" t="s">
        <v>306</v>
      </c>
      <c r="B46" s="25" t="s">
        <v>309</v>
      </c>
      <c r="C46" s="14" t="s">
        <v>310</v>
      </c>
      <c r="D46" s="25" t="s">
        <v>54</v>
      </c>
      <c r="E46" s="25">
        <v>5</v>
      </c>
      <c r="F46" s="32"/>
      <c r="G46" s="32"/>
      <c r="H46" s="32">
        <v>4.7</v>
      </c>
      <c r="I46" s="33">
        <f t="shared" si="1"/>
        <v>94</v>
      </c>
      <c r="J46" s="25" t="str">
        <f>IFERROR(VLOOKUP(I46,Grading_Scale!$A$3:$B$12,2,TRUE()),"")</f>
        <v>Daksh</v>
      </c>
      <c r="K46" s="34"/>
    </row>
    <row r="47" spans="1:11" ht="31.5" customHeight="1" x14ac:dyDescent="0.3">
      <c r="A47" s="31" t="s">
        <v>306</v>
      </c>
      <c r="B47" s="25" t="s">
        <v>311</v>
      </c>
      <c r="C47" s="14" t="s">
        <v>312</v>
      </c>
      <c r="D47" s="25" t="s">
        <v>54</v>
      </c>
      <c r="E47" s="25">
        <v>5</v>
      </c>
      <c r="F47" s="32"/>
      <c r="G47" s="32"/>
      <c r="H47" s="32">
        <v>4.4000000000000004</v>
      </c>
      <c r="I47" s="33">
        <f t="shared" si="1"/>
        <v>88.000000000000014</v>
      </c>
      <c r="J47" s="25" t="str">
        <f>IFERROR(VLOOKUP(I47,Grading_Scale!$A$3:$B$12,2,TRUE()),"")</f>
        <v>Utkarsh</v>
      </c>
      <c r="K47" s="34"/>
    </row>
    <row r="48" spans="1:11" ht="31.5" customHeight="1" x14ac:dyDescent="0.3">
      <c r="A48" s="31" t="s">
        <v>306</v>
      </c>
      <c r="B48" s="25" t="s">
        <v>313</v>
      </c>
      <c r="C48" s="14" t="s">
        <v>314</v>
      </c>
      <c r="D48" s="25" t="s">
        <v>54</v>
      </c>
      <c r="E48" s="25">
        <v>5</v>
      </c>
      <c r="F48" s="32"/>
      <c r="G48" s="32"/>
      <c r="H48" s="32">
        <v>4.9000000000000004</v>
      </c>
      <c r="I48" s="33">
        <f t="shared" si="1"/>
        <v>98.000000000000014</v>
      </c>
      <c r="J48" s="25" t="str">
        <f>IFERROR(VLOOKUP(I48,Grading_Scale!$A$3:$B$12,2,TRUE()),"")</f>
        <v>Daksh</v>
      </c>
      <c r="K48" s="34"/>
    </row>
    <row r="49" spans="1:11" ht="31.5" customHeight="1" x14ac:dyDescent="0.3">
      <c r="A49" s="31" t="s">
        <v>306</v>
      </c>
      <c r="B49" s="25" t="s">
        <v>315</v>
      </c>
      <c r="C49" s="14" t="s">
        <v>316</v>
      </c>
      <c r="D49" s="25" t="s">
        <v>54</v>
      </c>
      <c r="E49" s="25">
        <v>5</v>
      </c>
      <c r="F49" s="32"/>
      <c r="G49" s="32"/>
      <c r="H49" s="32">
        <v>4.5</v>
      </c>
      <c r="I49" s="33">
        <f t="shared" si="1"/>
        <v>90</v>
      </c>
      <c r="J49" s="25" t="str">
        <f>IFERROR(VLOOKUP(I49,Grading_Scale!$A$3:$B$12,2,TRUE()),"")</f>
        <v>Utkarsh</v>
      </c>
      <c r="K49" s="34"/>
    </row>
    <row r="50" spans="1:11" ht="31.5" customHeight="1" x14ac:dyDescent="0.3">
      <c r="A50" s="31" t="s">
        <v>306</v>
      </c>
      <c r="B50" s="25" t="s">
        <v>317</v>
      </c>
      <c r="C50" s="14" t="s">
        <v>318</v>
      </c>
      <c r="D50" s="25" t="s">
        <v>54</v>
      </c>
      <c r="E50" s="25">
        <v>5</v>
      </c>
      <c r="F50" s="32"/>
      <c r="G50" s="32"/>
      <c r="H50" s="32">
        <v>4.7</v>
      </c>
      <c r="I50" s="33">
        <f t="shared" si="1"/>
        <v>94</v>
      </c>
      <c r="J50" s="25" t="str">
        <f>IFERROR(VLOOKUP(I50,Grading_Scale!$A$3:$B$12,2,TRUE()),"")</f>
        <v>Daksh</v>
      </c>
      <c r="K50" s="34"/>
    </row>
    <row r="51" spans="1:11" ht="31.5" customHeight="1" x14ac:dyDescent="0.3">
      <c r="A51" s="31" t="s">
        <v>306</v>
      </c>
      <c r="B51" s="25" t="s">
        <v>319</v>
      </c>
      <c r="C51" s="14" t="s">
        <v>320</v>
      </c>
      <c r="D51" s="25" t="s">
        <v>54</v>
      </c>
      <c r="E51" s="25">
        <v>5</v>
      </c>
      <c r="F51" s="32"/>
      <c r="G51" s="32"/>
      <c r="H51" s="32">
        <v>4.8</v>
      </c>
      <c r="I51" s="33">
        <f t="shared" si="1"/>
        <v>96</v>
      </c>
      <c r="J51" s="25" t="str">
        <f>IFERROR(VLOOKUP(I51,Grading_Scale!$A$3:$B$12,2,TRUE()),"")</f>
        <v>Daksh</v>
      </c>
      <c r="K51" s="34"/>
    </row>
    <row r="52" spans="1:11" ht="31.5" customHeight="1" x14ac:dyDescent="0.3">
      <c r="A52" s="31" t="s">
        <v>306</v>
      </c>
      <c r="B52" s="25" t="s">
        <v>321</v>
      </c>
      <c r="C52" s="14" t="s">
        <v>322</v>
      </c>
      <c r="D52" s="25" t="s">
        <v>54</v>
      </c>
      <c r="E52" s="25">
        <v>5</v>
      </c>
      <c r="F52" s="32"/>
      <c r="G52" s="32"/>
      <c r="H52" s="32">
        <v>4.4000000000000004</v>
      </c>
      <c r="I52" s="33">
        <f t="shared" si="1"/>
        <v>88.000000000000014</v>
      </c>
      <c r="J52" s="25" t="str">
        <f>IFERROR(VLOOKUP(I52,Grading_Scale!$A$3:$B$12,2,TRUE()),"")</f>
        <v>Utkarsh</v>
      </c>
      <c r="K52" s="34"/>
    </row>
    <row r="53" spans="1:11" ht="31.5" customHeight="1" x14ac:dyDescent="0.3">
      <c r="A53" s="31" t="s">
        <v>306</v>
      </c>
      <c r="B53" s="25" t="s">
        <v>323</v>
      </c>
      <c r="C53" s="14" t="s">
        <v>324</v>
      </c>
      <c r="D53" s="25" t="s">
        <v>54</v>
      </c>
      <c r="E53" s="25">
        <v>5</v>
      </c>
      <c r="F53" s="32"/>
      <c r="G53" s="32"/>
      <c r="H53" s="32">
        <v>3.9</v>
      </c>
      <c r="I53" s="33">
        <f t="shared" si="1"/>
        <v>78</v>
      </c>
      <c r="J53" s="25" t="str">
        <f>IFERROR(VLOOKUP(I53,Grading_Scale!$A$3:$B$12,2,TRUE()),"")</f>
        <v>Atti-Uttam</v>
      </c>
      <c r="K53" s="34"/>
    </row>
    <row r="54" spans="1:11" ht="31.5" customHeight="1" x14ac:dyDescent="0.3">
      <c r="A54" s="31" t="s">
        <v>306</v>
      </c>
      <c r="B54" s="25" t="s">
        <v>325</v>
      </c>
      <c r="C54" s="14" t="s">
        <v>326</v>
      </c>
      <c r="D54" s="25" t="s">
        <v>54</v>
      </c>
      <c r="E54" s="25">
        <v>5</v>
      </c>
      <c r="F54" s="32"/>
      <c r="G54" s="32"/>
      <c r="H54" s="32">
        <v>4.8</v>
      </c>
      <c r="I54" s="33">
        <f t="shared" si="1"/>
        <v>96</v>
      </c>
      <c r="J54" s="25" t="str">
        <f>IFERROR(VLOOKUP(I54,Grading_Scale!$A$3:$B$12,2,TRUE()),"")</f>
        <v>Daksh</v>
      </c>
      <c r="K54" s="34"/>
    </row>
    <row r="55" spans="1:11" ht="31.5" customHeight="1" x14ac:dyDescent="0.3">
      <c r="A55" s="31" t="s">
        <v>306</v>
      </c>
      <c r="B55" s="25" t="s">
        <v>327</v>
      </c>
      <c r="C55" s="14" t="s">
        <v>328</v>
      </c>
      <c r="D55" s="25" t="s">
        <v>54</v>
      </c>
      <c r="E55" s="25">
        <v>5</v>
      </c>
      <c r="F55" s="32"/>
      <c r="G55" s="32"/>
      <c r="H55" s="32">
        <v>4.2</v>
      </c>
      <c r="I55" s="33">
        <f t="shared" si="1"/>
        <v>84.000000000000014</v>
      </c>
      <c r="J55" s="25" t="str">
        <f>IFERROR(VLOOKUP(I55,Grading_Scale!$A$3:$B$12,2,TRUE()),"")</f>
        <v>Utkarsh</v>
      </c>
      <c r="K55" s="34"/>
    </row>
    <row r="56" spans="1:11" ht="31.5" customHeight="1" x14ac:dyDescent="0.3">
      <c r="A56" s="31" t="s">
        <v>306</v>
      </c>
      <c r="B56" s="25" t="s">
        <v>329</v>
      </c>
      <c r="C56" s="14" t="s">
        <v>330</v>
      </c>
      <c r="D56" s="25" t="s">
        <v>54</v>
      </c>
      <c r="E56" s="25">
        <v>5</v>
      </c>
      <c r="F56" s="32"/>
      <c r="G56" s="32"/>
      <c r="H56" s="32">
        <v>4.5999999999999996</v>
      </c>
      <c r="I56" s="33">
        <f t="shared" si="1"/>
        <v>92</v>
      </c>
      <c r="J56" s="25" t="str">
        <f>IFERROR(VLOOKUP(I56,Grading_Scale!$A$3:$B$12,2,TRUE()),"")</f>
        <v>Daksh</v>
      </c>
      <c r="K56" s="34"/>
    </row>
    <row r="57" spans="1:11" ht="31.5" customHeight="1" x14ac:dyDescent="0.3">
      <c r="A57" s="31" t="s">
        <v>306</v>
      </c>
      <c r="B57" s="25" t="s">
        <v>331</v>
      </c>
      <c r="C57" s="14" t="s">
        <v>332</v>
      </c>
      <c r="D57" s="25" t="s">
        <v>54</v>
      </c>
      <c r="E57" s="25">
        <v>10</v>
      </c>
      <c r="F57" s="32"/>
      <c r="G57" s="32"/>
      <c r="H57" s="32">
        <v>9.8000000000000007</v>
      </c>
      <c r="I57" s="33">
        <f t="shared" si="1"/>
        <v>98.000000000000014</v>
      </c>
      <c r="J57" s="25" t="str">
        <f>IFERROR(VLOOKUP(I57,Grading_Scale!$A$3:$B$12,2,TRUE()),"")</f>
        <v>Daksh</v>
      </c>
      <c r="K57" s="34"/>
    </row>
    <row r="58" spans="1:11" ht="31.5" customHeight="1" x14ac:dyDescent="0.3">
      <c r="A58" s="31" t="s">
        <v>306</v>
      </c>
      <c r="B58" s="25" t="s">
        <v>333</v>
      </c>
      <c r="C58" s="14" t="s">
        <v>334</v>
      </c>
      <c r="D58" s="25" t="s">
        <v>54</v>
      </c>
      <c r="E58" s="25">
        <v>5</v>
      </c>
      <c r="F58" s="32"/>
      <c r="G58" s="32"/>
      <c r="H58" s="32">
        <v>4.7</v>
      </c>
      <c r="I58" s="33">
        <f t="shared" si="1"/>
        <v>94</v>
      </c>
      <c r="J58" s="25" t="str">
        <f>IFERROR(VLOOKUP(I58,Grading_Scale!$A$3:$B$12,2,TRUE()),"")</f>
        <v>Daksh</v>
      </c>
      <c r="K58" s="34"/>
    </row>
    <row r="59" spans="1:11" ht="31.5" customHeight="1" x14ac:dyDescent="0.3">
      <c r="A59" s="31" t="s">
        <v>306</v>
      </c>
      <c r="B59" s="25" t="s">
        <v>335</v>
      </c>
      <c r="C59" s="14" t="s">
        <v>336</v>
      </c>
      <c r="D59" s="25" t="s">
        <v>54</v>
      </c>
      <c r="E59" s="25">
        <v>5</v>
      </c>
      <c r="F59" s="32"/>
      <c r="G59" s="32"/>
      <c r="H59" s="32">
        <v>4.3</v>
      </c>
      <c r="I59" s="33">
        <f t="shared" si="1"/>
        <v>86</v>
      </c>
      <c r="J59" s="25" t="str">
        <f>IFERROR(VLOOKUP(I59,Grading_Scale!$A$3:$B$12,2,TRUE()),"")</f>
        <v>Utkarsh</v>
      </c>
      <c r="K59" s="34"/>
    </row>
    <row r="60" spans="1:11" ht="31.5" customHeight="1" x14ac:dyDescent="0.3">
      <c r="A60" s="31" t="s">
        <v>306</v>
      </c>
      <c r="B60" s="25" t="s">
        <v>337</v>
      </c>
      <c r="C60" s="14" t="s">
        <v>338</v>
      </c>
      <c r="D60" s="25" t="s">
        <v>54</v>
      </c>
      <c r="E60" s="25">
        <v>10</v>
      </c>
      <c r="F60" s="32"/>
      <c r="G60" s="32"/>
      <c r="H60" s="32">
        <v>9.9</v>
      </c>
      <c r="I60" s="33">
        <f t="shared" si="1"/>
        <v>99</v>
      </c>
      <c r="J60" s="25" t="str">
        <f>IFERROR(VLOOKUP(I60,Grading_Scale!$A$3:$B$12,2,TRUE()),"")</f>
        <v>Daksh</v>
      </c>
      <c r="K60" s="34"/>
    </row>
    <row r="61" spans="1:11" ht="31.5" customHeight="1" x14ac:dyDescent="0.3">
      <c r="A61" s="31" t="s">
        <v>306</v>
      </c>
      <c r="B61" s="25" t="s">
        <v>339</v>
      </c>
      <c r="C61" s="14" t="s">
        <v>340</v>
      </c>
      <c r="D61" s="25" t="s">
        <v>54</v>
      </c>
      <c r="E61" s="25">
        <v>5</v>
      </c>
      <c r="F61" s="32"/>
      <c r="G61" s="32"/>
      <c r="H61" s="32">
        <v>4.7</v>
      </c>
      <c r="I61" s="33">
        <f t="shared" si="1"/>
        <v>94</v>
      </c>
      <c r="J61" s="25" t="str">
        <f>IFERROR(VLOOKUP(I61,Grading_Scale!$A$3:$B$12,2,TRUE()),"")</f>
        <v>Daksh</v>
      </c>
      <c r="K61" s="34"/>
    </row>
    <row r="62" spans="1:11" ht="31.5" customHeight="1" x14ac:dyDescent="0.3">
      <c r="A62" s="31" t="s">
        <v>306</v>
      </c>
      <c r="B62" s="25" t="s">
        <v>341</v>
      </c>
      <c r="C62" s="14" t="s">
        <v>342</v>
      </c>
      <c r="D62" s="25" t="s">
        <v>54</v>
      </c>
      <c r="E62" s="25">
        <v>5</v>
      </c>
      <c r="F62" s="32"/>
      <c r="G62" s="32"/>
      <c r="H62" s="32">
        <v>4.8</v>
      </c>
      <c r="I62" s="33">
        <f t="shared" si="1"/>
        <v>96</v>
      </c>
      <c r="J62" s="25" t="str">
        <f>IFERROR(VLOOKUP(I62,Grading_Scale!$A$3:$B$12,2,TRUE()),"")</f>
        <v>Daksh</v>
      </c>
      <c r="K62" s="34"/>
    </row>
    <row r="63" spans="1:11" ht="31.5" customHeight="1" x14ac:dyDescent="0.3">
      <c r="A63" s="31" t="s">
        <v>306</v>
      </c>
      <c r="B63" s="25" t="s">
        <v>343</v>
      </c>
      <c r="C63" s="14" t="s">
        <v>344</v>
      </c>
      <c r="D63" s="25" t="s">
        <v>54</v>
      </c>
      <c r="E63" s="25">
        <v>10</v>
      </c>
      <c r="F63" s="32"/>
      <c r="G63" s="32"/>
      <c r="H63" s="32">
        <v>9.6</v>
      </c>
      <c r="I63" s="33">
        <f t="shared" si="1"/>
        <v>96</v>
      </c>
      <c r="J63" s="25" t="str">
        <f>IFERROR(VLOOKUP(I63,Grading_Scale!$A$3:$B$12,2,TRUE()),"")</f>
        <v>Daksh</v>
      </c>
      <c r="K63" s="34"/>
    </row>
    <row r="64" spans="1:11" ht="31.5" customHeight="1" x14ac:dyDescent="0.3">
      <c r="A64" s="31" t="s">
        <v>306</v>
      </c>
      <c r="B64" s="25" t="s">
        <v>345</v>
      </c>
      <c r="C64" s="14" t="s">
        <v>346</v>
      </c>
      <c r="D64" s="25" t="s">
        <v>54</v>
      </c>
      <c r="E64" s="25">
        <v>10</v>
      </c>
      <c r="F64" s="32"/>
      <c r="G64" s="32"/>
      <c r="H64" s="32">
        <v>9.4</v>
      </c>
      <c r="I64" s="33">
        <f t="shared" si="1"/>
        <v>94</v>
      </c>
      <c r="J64" s="25" t="str">
        <f>IFERROR(VLOOKUP(I64,Grading_Scale!$A$3:$B$12,2,TRUE()),"")</f>
        <v>Daksh</v>
      </c>
      <c r="K64" s="34"/>
    </row>
    <row r="65" spans="1:11" ht="31.5" customHeight="1" x14ac:dyDescent="0.3">
      <c r="A65" s="31" t="s">
        <v>306</v>
      </c>
      <c r="B65" s="25" t="s">
        <v>347</v>
      </c>
      <c r="C65" s="14" t="s">
        <v>348</v>
      </c>
      <c r="D65" s="25" t="s">
        <v>54</v>
      </c>
      <c r="E65" s="25">
        <v>10</v>
      </c>
      <c r="F65" s="32"/>
      <c r="G65" s="32"/>
      <c r="H65" s="32">
        <v>9.1999999999999993</v>
      </c>
      <c r="I65" s="33">
        <f t="shared" si="1"/>
        <v>92</v>
      </c>
      <c r="J65" s="25" t="str">
        <f>IFERROR(VLOOKUP(I65,Grading_Scale!$A$3:$B$12,2,TRUE()),"")</f>
        <v>Daksh</v>
      </c>
      <c r="K65" s="34"/>
    </row>
    <row r="66" spans="1:11" ht="31.5" customHeight="1" x14ac:dyDescent="0.3">
      <c r="A66" s="31" t="s">
        <v>306</v>
      </c>
      <c r="B66" s="25" t="s">
        <v>349</v>
      </c>
      <c r="C66" s="14" t="s">
        <v>350</v>
      </c>
      <c r="D66" s="25" t="s">
        <v>54</v>
      </c>
      <c r="E66" s="25">
        <v>10</v>
      </c>
      <c r="F66" s="32"/>
      <c r="G66" s="32"/>
      <c r="H66" s="32">
        <v>9.8000000000000007</v>
      </c>
      <c r="I66" s="33">
        <f t="shared" si="1"/>
        <v>98.000000000000014</v>
      </c>
      <c r="J66" s="25" t="str">
        <f>IFERROR(VLOOKUP(I66,Grading_Scale!$A$3:$B$12,2,TRUE()),"")</f>
        <v>Daksh</v>
      </c>
      <c r="K66" s="34"/>
    </row>
    <row r="67" spans="1:11" ht="31.5" customHeight="1" x14ac:dyDescent="0.3">
      <c r="A67" s="31" t="s">
        <v>306</v>
      </c>
      <c r="B67" s="25" t="s">
        <v>351</v>
      </c>
      <c r="C67" s="14" t="s">
        <v>352</v>
      </c>
      <c r="D67" s="25" t="s">
        <v>54</v>
      </c>
      <c r="E67" s="25">
        <v>10</v>
      </c>
      <c r="F67" s="32"/>
      <c r="G67" s="32"/>
      <c r="H67" s="32">
        <v>9.9</v>
      </c>
      <c r="I67" s="33">
        <f t="shared" si="1"/>
        <v>99</v>
      </c>
      <c r="J67" s="25" t="str">
        <f>IFERROR(VLOOKUP(I67,Grading_Scale!$A$3:$B$12,2,TRUE()),"")</f>
        <v>Daksh</v>
      </c>
      <c r="K67" s="34"/>
    </row>
    <row r="68" spans="1:11" ht="31.5" customHeight="1" x14ac:dyDescent="0.3">
      <c r="A68" s="31" t="s">
        <v>306</v>
      </c>
      <c r="B68" s="25" t="s">
        <v>353</v>
      </c>
      <c r="C68" s="14" t="s">
        <v>354</v>
      </c>
      <c r="D68" s="25" t="s">
        <v>54</v>
      </c>
      <c r="E68" s="25">
        <v>10</v>
      </c>
      <c r="F68" s="32"/>
      <c r="G68" s="32"/>
      <c r="H68" s="32">
        <v>10</v>
      </c>
      <c r="I68" s="33">
        <f t="shared" ref="I68:I99" si="2">IF(E68=0,0,H68/E68*100)</f>
        <v>100</v>
      </c>
      <c r="J68" s="25" t="str">
        <f>IFERROR(VLOOKUP(I68,Grading_Scale!$A$3:$B$12,2,TRUE()),"")</f>
        <v>Daksh</v>
      </c>
      <c r="K68" s="34"/>
    </row>
    <row r="69" spans="1:11" ht="31.5" customHeight="1" x14ac:dyDescent="0.3">
      <c r="A69" s="31" t="s">
        <v>306</v>
      </c>
      <c r="B69" s="25" t="s">
        <v>355</v>
      </c>
      <c r="C69" s="14" t="s">
        <v>356</v>
      </c>
      <c r="D69" s="25" t="s">
        <v>241</v>
      </c>
      <c r="E69" s="25">
        <v>5</v>
      </c>
      <c r="F69" s="32"/>
      <c r="G69" s="32"/>
      <c r="H69" s="32">
        <v>4.2</v>
      </c>
      <c r="I69" s="33">
        <f t="shared" si="2"/>
        <v>84.000000000000014</v>
      </c>
      <c r="J69" s="25" t="str">
        <f>IFERROR(VLOOKUP(I69,Grading_Scale!$A$3:$B$12,2,TRUE()),"")</f>
        <v>Utkarsh</v>
      </c>
      <c r="K69" s="34"/>
    </row>
    <row r="70" spans="1:11" ht="31.5" customHeight="1" x14ac:dyDescent="0.3">
      <c r="A70" s="31" t="s">
        <v>306</v>
      </c>
      <c r="B70" s="25" t="s">
        <v>357</v>
      </c>
      <c r="C70" s="14" t="s">
        <v>358</v>
      </c>
      <c r="D70" s="25" t="s">
        <v>241</v>
      </c>
      <c r="E70" s="25">
        <v>5</v>
      </c>
      <c r="F70" s="32"/>
      <c r="G70" s="32"/>
      <c r="H70" s="32">
        <v>3.5</v>
      </c>
      <c r="I70" s="33">
        <f t="shared" si="2"/>
        <v>70</v>
      </c>
      <c r="J70" s="25" t="str">
        <f>IFERROR(VLOOKUP(I70,Grading_Scale!$A$3:$B$12,2,TRUE()),"")</f>
        <v>Uttam</v>
      </c>
      <c r="K70" s="34"/>
    </row>
    <row r="71" spans="1:11" ht="31.5" customHeight="1" x14ac:dyDescent="0.3">
      <c r="A71" s="31" t="s">
        <v>306</v>
      </c>
      <c r="B71" s="25" t="s">
        <v>359</v>
      </c>
      <c r="C71" s="14" t="s">
        <v>360</v>
      </c>
      <c r="D71" s="25" t="s">
        <v>241</v>
      </c>
      <c r="E71" s="25">
        <v>5</v>
      </c>
      <c r="F71" s="32"/>
      <c r="G71" s="32"/>
      <c r="H71" s="32">
        <v>4.3</v>
      </c>
      <c r="I71" s="33">
        <f t="shared" si="2"/>
        <v>86</v>
      </c>
      <c r="J71" s="25" t="str">
        <f>IFERROR(VLOOKUP(I71,Grading_Scale!$A$3:$B$12,2,TRUE()),"")</f>
        <v>Utkarsh</v>
      </c>
      <c r="K71" s="34"/>
    </row>
    <row r="72" spans="1:11" ht="31.5" customHeight="1" x14ac:dyDescent="0.3">
      <c r="A72" s="31" t="s">
        <v>306</v>
      </c>
      <c r="B72" s="25" t="s">
        <v>361</v>
      </c>
      <c r="C72" s="14" t="s">
        <v>362</v>
      </c>
      <c r="D72" s="25" t="s">
        <v>241</v>
      </c>
      <c r="E72" s="25">
        <v>5</v>
      </c>
      <c r="F72" s="32"/>
      <c r="G72" s="32"/>
      <c r="H72" s="32">
        <v>3.7</v>
      </c>
      <c r="I72" s="33">
        <f t="shared" si="2"/>
        <v>74</v>
      </c>
      <c r="J72" s="25" t="str">
        <f>IFERROR(VLOOKUP(I72,Grading_Scale!$A$3:$B$12,2,TRUE()),"")</f>
        <v>Atti-Uttam</v>
      </c>
      <c r="K72" s="34"/>
    </row>
    <row r="73" spans="1:11" ht="31.5" customHeight="1" x14ac:dyDescent="0.3">
      <c r="A73" s="31" t="s">
        <v>306</v>
      </c>
      <c r="B73" s="25" t="s">
        <v>363</v>
      </c>
      <c r="C73" s="14" t="s">
        <v>364</v>
      </c>
      <c r="D73" s="25" t="s">
        <v>241</v>
      </c>
      <c r="E73" s="25">
        <v>10</v>
      </c>
      <c r="F73" s="32"/>
      <c r="G73" s="32"/>
      <c r="H73" s="32">
        <v>9.6999999999999993</v>
      </c>
      <c r="I73" s="33">
        <f t="shared" si="2"/>
        <v>97</v>
      </c>
      <c r="J73" s="25" t="str">
        <f>IFERROR(VLOOKUP(I73,Grading_Scale!$A$3:$B$12,2,TRUE()),"")</f>
        <v>Daksh</v>
      </c>
      <c r="K73" s="34"/>
    </row>
    <row r="74" spans="1:11" ht="31.5" customHeight="1" x14ac:dyDescent="0.3">
      <c r="A74" s="31" t="s">
        <v>306</v>
      </c>
      <c r="B74" s="25" t="s">
        <v>365</v>
      </c>
      <c r="C74" s="14" t="s">
        <v>366</v>
      </c>
      <c r="D74" s="25" t="s">
        <v>241</v>
      </c>
      <c r="E74" s="25">
        <v>10</v>
      </c>
      <c r="F74" s="32"/>
      <c r="G74" s="32"/>
      <c r="H74" s="32">
        <v>9.3000000000000007</v>
      </c>
      <c r="I74" s="33">
        <f t="shared" si="2"/>
        <v>93</v>
      </c>
      <c r="J74" s="25" t="str">
        <f>IFERROR(VLOOKUP(I74,Grading_Scale!$A$3:$B$12,2,TRUE()),"")</f>
        <v>Daksh</v>
      </c>
      <c r="K74" s="34"/>
    </row>
    <row r="75" spans="1:11" ht="31.5" customHeight="1" x14ac:dyDescent="0.3">
      <c r="A75" s="31" t="s">
        <v>306</v>
      </c>
      <c r="B75" s="25" t="s">
        <v>367</v>
      </c>
      <c r="C75" s="14" t="s">
        <v>368</v>
      </c>
      <c r="D75" s="25" t="s">
        <v>241</v>
      </c>
      <c r="E75" s="25">
        <v>10</v>
      </c>
      <c r="F75" s="32"/>
      <c r="G75" s="32"/>
      <c r="H75" s="32">
        <v>1.1000000000000001</v>
      </c>
      <c r="I75" s="33">
        <f t="shared" si="2"/>
        <v>11.000000000000002</v>
      </c>
      <c r="J75" s="25" t="str">
        <f>IFERROR(VLOOKUP(I75,Grading_Scale!$A$3:$B$12,2,TRUE()),"")</f>
        <v>Akanshi-2</v>
      </c>
      <c r="K75" s="34"/>
    </row>
    <row r="76" spans="1:11" ht="31.5" customHeight="1" x14ac:dyDescent="0.3">
      <c r="A76" s="31" t="s">
        <v>306</v>
      </c>
      <c r="B76" s="25" t="s">
        <v>369</v>
      </c>
      <c r="C76" s="14" t="s">
        <v>370</v>
      </c>
      <c r="D76" s="25" t="s">
        <v>241</v>
      </c>
      <c r="E76" s="25">
        <v>10</v>
      </c>
      <c r="F76" s="32"/>
      <c r="G76" s="32"/>
      <c r="H76" s="32">
        <v>10</v>
      </c>
      <c r="I76" s="33">
        <f t="shared" si="2"/>
        <v>100</v>
      </c>
      <c r="J76" s="25" t="str">
        <f>IFERROR(VLOOKUP(I76,Grading_Scale!$A$3:$B$12,2,TRUE()),"")</f>
        <v>Daksh</v>
      </c>
      <c r="K76" s="34"/>
    </row>
    <row r="77" spans="1:11" ht="31.5" customHeight="1" x14ac:dyDescent="0.3">
      <c r="A77" s="31" t="s">
        <v>306</v>
      </c>
      <c r="B77" s="25" t="s">
        <v>371</v>
      </c>
      <c r="C77" s="14" t="s">
        <v>372</v>
      </c>
      <c r="D77" s="25" t="s">
        <v>241</v>
      </c>
      <c r="E77" s="25">
        <v>10</v>
      </c>
      <c r="F77" s="32"/>
      <c r="G77" s="32"/>
      <c r="H77" s="32">
        <v>8.1</v>
      </c>
      <c r="I77" s="33">
        <f t="shared" si="2"/>
        <v>81</v>
      </c>
      <c r="J77" s="25" t="str">
        <f>IFERROR(VLOOKUP(I77,Grading_Scale!$A$3:$B$12,2,TRUE()),"")</f>
        <v>Utkarsh</v>
      </c>
      <c r="K77" s="34"/>
    </row>
    <row r="78" spans="1:11" ht="31.5" customHeight="1" x14ac:dyDescent="0.3">
      <c r="A78" s="31" t="s">
        <v>306</v>
      </c>
      <c r="B78" s="25" t="s">
        <v>373</v>
      </c>
      <c r="C78" s="14" t="s">
        <v>374</v>
      </c>
      <c r="D78" s="25" t="s">
        <v>241</v>
      </c>
      <c r="E78" s="25">
        <v>10</v>
      </c>
      <c r="F78" s="32"/>
      <c r="G78" s="32"/>
      <c r="H78" s="32">
        <v>3.7</v>
      </c>
      <c r="I78" s="33">
        <f t="shared" si="2"/>
        <v>37</v>
      </c>
      <c r="J78" s="25" t="str">
        <f>IFERROR(VLOOKUP(I78,Grading_Scale!$A$3:$B$12,2,TRUE()),"")</f>
        <v>Prachesta-3</v>
      </c>
      <c r="K78" s="34"/>
    </row>
    <row r="79" spans="1:11" ht="31.5" customHeight="1" x14ac:dyDescent="0.3">
      <c r="A79" s="31" t="s">
        <v>306</v>
      </c>
      <c r="B79" s="25" t="s">
        <v>375</v>
      </c>
      <c r="C79" s="14" t="s">
        <v>376</v>
      </c>
      <c r="D79" s="25" t="s">
        <v>241</v>
      </c>
      <c r="E79" s="25">
        <v>10</v>
      </c>
      <c r="F79" s="32"/>
      <c r="G79" s="32"/>
      <c r="H79" s="32">
        <v>9.6999999999999993</v>
      </c>
      <c r="I79" s="33">
        <f t="shared" si="2"/>
        <v>97</v>
      </c>
      <c r="J79" s="25" t="str">
        <f>IFERROR(VLOOKUP(I79,Grading_Scale!$A$3:$B$12,2,TRUE()),"")</f>
        <v>Daksh</v>
      </c>
      <c r="K79" s="34"/>
    </row>
    <row r="80" spans="1:11" ht="31.5" customHeight="1" x14ac:dyDescent="0.3">
      <c r="A80" s="31" t="s">
        <v>306</v>
      </c>
      <c r="B80" s="25" t="s">
        <v>377</v>
      </c>
      <c r="C80" s="14" t="s">
        <v>378</v>
      </c>
      <c r="D80" s="25" t="s">
        <v>241</v>
      </c>
      <c r="E80" s="25">
        <v>10</v>
      </c>
      <c r="F80" s="32"/>
      <c r="G80" s="32"/>
      <c r="H80" s="32">
        <v>9.8000000000000007</v>
      </c>
      <c r="I80" s="33">
        <f t="shared" si="2"/>
        <v>98.000000000000014</v>
      </c>
      <c r="J80" s="25" t="str">
        <f>IFERROR(VLOOKUP(I80,Grading_Scale!$A$3:$B$12,2,TRUE()),"")</f>
        <v>Daksh</v>
      </c>
      <c r="K80" s="34"/>
    </row>
    <row r="81" spans="1:11" ht="31.5" customHeight="1" x14ac:dyDescent="0.3">
      <c r="A81" s="31" t="s">
        <v>379</v>
      </c>
      <c r="B81" s="25" t="s">
        <v>380</v>
      </c>
      <c r="C81" s="14" t="s">
        <v>381</v>
      </c>
      <c r="D81" s="25" t="s">
        <v>241</v>
      </c>
      <c r="E81" s="25">
        <v>5</v>
      </c>
      <c r="F81" s="32"/>
      <c r="G81" s="32"/>
      <c r="H81" s="32">
        <v>4.5999999999999996</v>
      </c>
      <c r="I81" s="33">
        <f t="shared" si="2"/>
        <v>92</v>
      </c>
      <c r="J81" s="25" t="str">
        <f>IFERROR(VLOOKUP(I81,Grading_Scale!$A$3:$B$12,2,TRUE()),"")</f>
        <v>Daksh</v>
      </c>
      <c r="K81" s="34"/>
    </row>
    <row r="82" spans="1:11" ht="31.5" customHeight="1" x14ac:dyDescent="0.3">
      <c r="A82" s="31" t="s">
        <v>379</v>
      </c>
      <c r="B82" s="25" t="s">
        <v>382</v>
      </c>
      <c r="C82" s="14" t="s">
        <v>383</v>
      </c>
      <c r="D82" s="25" t="s">
        <v>241</v>
      </c>
      <c r="E82" s="25">
        <v>5</v>
      </c>
      <c r="F82" s="32"/>
      <c r="G82" s="32"/>
      <c r="H82" s="32">
        <v>0.4</v>
      </c>
      <c r="I82" s="33">
        <f t="shared" si="2"/>
        <v>8</v>
      </c>
      <c r="J82" s="25" t="str">
        <f>IFERROR(VLOOKUP(I82,Grading_Scale!$A$3:$B$12,2,TRUE()),"")</f>
        <v>Akanshi-3</v>
      </c>
      <c r="K82" s="34"/>
    </row>
    <row r="83" spans="1:11" ht="31.5" customHeight="1" x14ac:dyDescent="0.3">
      <c r="A83" s="31" t="s">
        <v>379</v>
      </c>
      <c r="B83" s="25" t="s">
        <v>384</v>
      </c>
      <c r="C83" s="14" t="s">
        <v>385</v>
      </c>
      <c r="D83" s="25" t="s">
        <v>241</v>
      </c>
      <c r="E83" s="25">
        <v>5</v>
      </c>
      <c r="F83" s="32"/>
      <c r="G83" s="32"/>
      <c r="H83" s="32">
        <v>0.5</v>
      </c>
      <c r="I83" s="33">
        <f t="shared" si="2"/>
        <v>10</v>
      </c>
      <c r="J83" s="25" t="str">
        <f>IFERROR(VLOOKUP(I83,Grading_Scale!$A$3:$B$12,2,TRUE()),"")</f>
        <v>Akanshi-3</v>
      </c>
      <c r="K83" s="34"/>
    </row>
    <row r="84" spans="1:11" ht="31.5" customHeight="1" x14ac:dyDescent="0.3">
      <c r="A84" s="31" t="s">
        <v>379</v>
      </c>
      <c r="B84" s="25" t="s">
        <v>386</v>
      </c>
      <c r="C84" s="14" t="s">
        <v>387</v>
      </c>
      <c r="D84" s="25" t="s">
        <v>241</v>
      </c>
      <c r="E84" s="25">
        <v>10</v>
      </c>
      <c r="F84" s="32"/>
      <c r="G84" s="32"/>
      <c r="H84" s="32">
        <v>1.1000000000000001</v>
      </c>
      <c r="I84" s="33">
        <f t="shared" si="2"/>
        <v>11.000000000000002</v>
      </c>
      <c r="J84" s="25" t="str">
        <f>IFERROR(VLOOKUP(I84,Grading_Scale!$A$3:$B$12,2,TRUE()),"")</f>
        <v>Akanshi-2</v>
      </c>
      <c r="K84" s="34"/>
    </row>
    <row r="85" spans="1:11" ht="31.5" customHeight="1" x14ac:dyDescent="0.3">
      <c r="A85" s="31" t="s">
        <v>379</v>
      </c>
      <c r="B85" s="25" t="s">
        <v>388</v>
      </c>
      <c r="C85" s="14" t="s">
        <v>389</v>
      </c>
      <c r="D85" s="25" t="s">
        <v>241</v>
      </c>
      <c r="E85" s="25">
        <v>10</v>
      </c>
      <c r="F85" s="32"/>
      <c r="G85" s="32"/>
      <c r="H85" s="32">
        <v>6.9</v>
      </c>
      <c r="I85" s="33">
        <f t="shared" si="2"/>
        <v>69</v>
      </c>
      <c r="J85" s="25" t="str">
        <f>IFERROR(VLOOKUP(I85,Grading_Scale!$A$3:$B$12,2,TRUE()),"")</f>
        <v>Uttam</v>
      </c>
      <c r="K85" s="34"/>
    </row>
    <row r="86" spans="1:11" ht="31.5" customHeight="1" x14ac:dyDescent="0.3">
      <c r="A86" s="31" t="s">
        <v>379</v>
      </c>
      <c r="B86" s="25" t="s">
        <v>390</v>
      </c>
      <c r="C86" s="14" t="s">
        <v>391</v>
      </c>
      <c r="D86" s="25" t="s">
        <v>241</v>
      </c>
      <c r="E86" s="25">
        <v>5</v>
      </c>
      <c r="F86" s="32"/>
      <c r="G86" s="32"/>
      <c r="H86" s="32">
        <v>3.9</v>
      </c>
      <c r="I86" s="33">
        <f t="shared" si="2"/>
        <v>78</v>
      </c>
      <c r="J86" s="25" t="str">
        <f>IFERROR(VLOOKUP(I86,Grading_Scale!$A$3:$B$12,2,TRUE()),"")</f>
        <v>Atti-Uttam</v>
      </c>
      <c r="K86" s="34"/>
    </row>
    <row r="87" spans="1:11" ht="31.5" customHeight="1" x14ac:dyDescent="0.3">
      <c r="A87" s="31" t="s">
        <v>379</v>
      </c>
      <c r="B87" s="25" t="s">
        <v>392</v>
      </c>
      <c r="C87" s="14" t="s">
        <v>393</v>
      </c>
      <c r="D87" s="25" t="s">
        <v>241</v>
      </c>
      <c r="E87" s="25">
        <v>5</v>
      </c>
      <c r="F87" s="32"/>
      <c r="G87" s="32"/>
      <c r="H87" s="32">
        <v>3.9</v>
      </c>
      <c r="I87" s="33">
        <f t="shared" si="2"/>
        <v>78</v>
      </c>
      <c r="J87" s="25" t="str">
        <f>IFERROR(VLOOKUP(I87,Grading_Scale!$A$3:$B$12,2,TRUE()),"")</f>
        <v>Atti-Uttam</v>
      </c>
      <c r="K87" s="34"/>
    </row>
    <row r="88" spans="1:11" ht="31.5" customHeight="1" x14ac:dyDescent="0.3">
      <c r="A88" s="31" t="s">
        <v>379</v>
      </c>
      <c r="B88" s="25" t="s">
        <v>394</v>
      </c>
      <c r="C88" s="14" t="s">
        <v>395</v>
      </c>
      <c r="D88" s="25" t="s">
        <v>241</v>
      </c>
      <c r="E88" s="25">
        <v>10</v>
      </c>
      <c r="F88" s="32"/>
      <c r="G88" s="32"/>
      <c r="H88" s="32">
        <v>6.9</v>
      </c>
      <c r="I88" s="33">
        <f t="shared" si="2"/>
        <v>69</v>
      </c>
      <c r="J88" s="25" t="str">
        <f>IFERROR(VLOOKUP(I88,Grading_Scale!$A$3:$B$12,2,TRUE()),"")</f>
        <v>Uttam</v>
      </c>
      <c r="K88" s="34"/>
    </row>
    <row r="89" spans="1:11" ht="31.5" customHeight="1" x14ac:dyDescent="0.3">
      <c r="A89" s="31" t="s">
        <v>379</v>
      </c>
      <c r="B89" s="25" t="s">
        <v>396</v>
      </c>
      <c r="C89" s="14" t="s">
        <v>397</v>
      </c>
      <c r="D89" s="25" t="s">
        <v>398</v>
      </c>
      <c r="E89" s="25">
        <v>10</v>
      </c>
      <c r="F89" s="32"/>
      <c r="G89" s="32"/>
      <c r="H89" s="32">
        <v>10</v>
      </c>
      <c r="I89" s="33">
        <f t="shared" si="2"/>
        <v>100</v>
      </c>
      <c r="J89" s="25" t="str">
        <f>IFERROR(VLOOKUP(I89,Grading_Scale!$A$3:$B$12,2,TRUE()),"")</f>
        <v>Daksh</v>
      </c>
      <c r="K89" s="34"/>
    </row>
    <row r="90" spans="1:11" ht="31.5" customHeight="1" x14ac:dyDescent="0.3">
      <c r="A90" s="31" t="s">
        <v>379</v>
      </c>
      <c r="B90" s="25" t="s">
        <v>399</v>
      </c>
      <c r="C90" s="14" t="s">
        <v>400</v>
      </c>
      <c r="D90" s="25" t="s">
        <v>398</v>
      </c>
      <c r="E90" s="25">
        <v>10</v>
      </c>
      <c r="F90" s="32"/>
      <c r="G90" s="32"/>
      <c r="H90" s="32">
        <v>10</v>
      </c>
      <c r="I90" s="33">
        <f t="shared" si="2"/>
        <v>100</v>
      </c>
      <c r="J90" s="25" t="str">
        <f>IFERROR(VLOOKUP(I90,Grading_Scale!$A$3:$B$12,2,TRUE()),"")</f>
        <v>Daksh</v>
      </c>
      <c r="K90" s="34"/>
    </row>
    <row r="91" spans="1:11" ht="31.5" customHeight="1" x14ac:dyDescent="0.3">
      <c r="A91" s="31" t="s">
        <v>379</v>
      </c>
      <c r="B91" s="25" t="s">
        <v>401</v>
      </c>
      <c r="C91" s="14" t="s">
        <v>402</v>
      </c>
      <c r="D91" s="25" t="s">
        <v>241</v>
      </c>
      <c r="E91" s="25">
        <v>10</v>
      </c>
      <c r="F91" s="32"/>
      <c r="G91" s="32"/>
      <c r="H91" s="32">
        <v>1.9</v>
      </c>
      <c r="I91" s="33">
        <f t="shared" si="2"/>
        <v>19</v>
      </c>
      <c r="J91" s="25" t="str">
        <f>IFERROR(VLOOKUP(I91,Grading_Scale!$A$3:$B$12,2,TRUE()),"")</f>
        <v>Akanshi-2</v>
      </c>
      <c r="K91" s="34"/>
    </row>
    <row r="92" spans="1:11" ht="31.5" customHeight="1" x14ac:dyDescent="0.3">
      <c r="A92" s="31" t="s">
        <v>379</v>
      </c>
      <c r="B92" s="25" t="s">
        <v>403</v>
      </c>
      <c r="C92" s="14" t="s">
        <v>404</v>
      </c>
      <c r="D92" s="25" t="s">
        <v>241</v>
      </c>
      <c r="E92" s="25">
        <v>10</v>
      </c>
      <c r="F92" s="32"/>
      <c r="G92" s="32"/>
      <c r="H92" s="32">
        <v>8.1</v>
      </c>
      <c r="I92" s="33">
        <f t="shared" si="2"/>
        <v>81</v>
      </c>
      <c r="J92" s="25" t="str">
        <f>IFERROR(VLOOKUP(I92,Grading_Scale!$A$3:$B$12,2,TRUE()),"")</f>
        <v>Utkarsh</v>
      </c>
      <c r="K92" s="34"/>
    </row>
    <row r="93" spans="1:11" ht="31.5" customHeight="1" x14ac:dyDescent="0.3">
      <c r="A93" s="31" t="s">
        <v>379</v>
      </c>
      <c r="B93" s="25" t="s">
        <v>405</v>
      </c>
      <c r="C93" s="14" t="s">
        <v>406</v>
      </c>
      <c r="D93" s="25" t="s">
        <v>398</v>
      </c>
      <c r="E93" s="25">
        <v>10</v>
      </c>
      <c r="F93" s="32"/>
      <c r="G93" s="32"/>
      <c r="H93" s="32">
        <v>10</v>
      </c>
      <c r="I93" s="33">
        <f t="shared" si="2"/>
        <v>100</v>
      </c>
      <c r="J93" s="25" t="str">
        <f>IFERROR(VLOOKUP(I93,Grading_Scale!$A$3:$B$12,2,TRUE()),"")</f>
        <v>Daksh</v>
      </c>
      <c r="K93" s="34"/>
    </row>
    <row r="94" spans="1:11" ht="31.5" customHeight="1" x14ac:dyDescent="0.3">
      <c r="A94" s="31" t="s">
        <v>379</v>
      </c>
      <c r="B94" s="25" t="s">
        <v>407</v>
      </c>
      <c r="C94" s="14" t="s">
        <v>408</v>
      </c>
      <c r="D94" s="25" t="s">
        <v>398</v>
      </c>
      <c r="E94" s="25">
        <v>10</v>
      </c>
      <c r="F94" s="32"/>
      <c r="G94" s="32"/>
      <c r="H94" s="32">
        <v>0.2</v>
      </c>
      <c r="I94" s="33">
        <f t="shared" si="2"/>
        <v>2</v>
      </c>
      <c r="J94" s="25" t="str">
        <f>IFERROR(VLOOKUP(I94,Grading_Scale!$A$3:$B$12,2,TRUE()),"")</f>
        <v>Akanshi-3</v>
      </c>
      <c r="K94" s="34"/>
    </row>
    <row r="95" spans="1:11" ht="31.5" customHeight="1" x14ac:dyDescent="0.3">
      <c r="A95" s="31" t="s">
        <v>379</v>
      </c>
      <c r="B95" s="25" t="s">
        <v>409</v>
      </c>
      <c r="C95" s="14" t="s">
        <v>410</v>
      </c>
      <c r="D95" s="25" t="s">
        <v>398</v>
      </c>
      <c r="E95" s="25">
        <v>10</v>
      </c>
      <c r="F95" s="32"/>
      <c r="G95" s="32"/>
      <c r="H95" s="32">
        <v>10</v>
      </c>
      <c r="I95" s="33">
        <f t="shared" si="2"/>
        <v>100</v>
      </c>
      <c r="J95" s="25" t="str">
        <f>IFERROR(VLOOKUP(I95,Grading_Scale!$A$3:$B$12,2,TRUE()),"")</f>
        <v>Daksh</v>
      </c>
      <c r="K95" s="34"/>
    </row>
    <row r="96" spans="1:11" ht="31.5" customHeight="1" x14ac:dyDescent="0.3">
      <c r="A96" s="31" t="s">
        <v>379</v>
      </c>
      <c r="B96" s="25" t="s">
        <v>411</v>
      </c>
      <c r="C96" s="14" t="s">
        <v>412</v>
      </c>
      <c r="D96" s="25" t="s">
        <v>413</v>
      </c>
      <c r="E96" s="25">
        <v>5</v>
      </c>
      <c r="F96" s="32"/>
      <c r="G96" s="32"/>
      <c r="H96" s="32">
        <v>0</v>
      </c>
      <c r="I96" s="33">
        <f t="shared" si="2"/>
        <v>0</v>
      </c>
      <c r="J96" s="25" t="str">
        <f>IFERROR(VLOOKUP(I96,Grading_Scale!$A$3:$B$12,2,TRUE()),"")</f>
        <v>Akanshi-3</v>
      </c>
      <c r="K96" s="34"/>
    </row>
    <row r="97" spans="1:11" ht="31.5" customHeight="1" x14ac:dyDescent="0.3">
      <c r="A97" s="31" t="s">
        <v>414</v>
      </c>
      <c r="B97" s="25" t="s">
        <v>415</v>
      </c>
      <c r="C97" s="14" t="s">
        <v>416</v>
      </c>
      <c r="D97" s="25" t="s">
        <v>241</v>
      </c>
      <c r="E97" s="25">
        <v>10</v>
      </c>
      <c r="F97" s="32"/>
      <c r="G97" s="32"/>
      <c r="H97" s="32">
        <v>4.4000000000000004</v>
      </c>
      <c r="I97" s="33">
        <f t="shared" si="2"/>
        <v>44.000000000000007</v>
      </c>
      <c r="J97" s="25" t="str">
        <f>IFERROR(VLOOKUP(I97,Grading_Scale!$A$3:$B$12,2,TRUE()),"")</f>
        <v>Prachesta-2</v>
      </c>
      <c r="K97" s="34"/>
    </row>
    <row r="98" spans="1:11" ht="31.5" customHeight="1" x14ac:dyDescent="0.3">
      <c r="A98" s="31" t="s">
        <v>414</v>
      </c>
      <c r="B98" s="25" t="s">
        <v>417</v>
      </c>
      <c r="C98" s="14" t="s">
        <v>418</v>
      </c>
      <c r="D98" s="25" t="s">
        <v>241</v>
      </c>
      <c r="E98" s="25">
        <v>10</v>
      </c>
      <c r="F98" s="32"/>
      <c r="G98" s="32"/>
      <c r="H98" s="32">
        <v>0.2</v>
      </c>
      <c r="I98" s="33">
        <f t="shared" si="2"/>
        <v>2</v>
      </c>
      <c r="J98" s="25" t="str">
        <f>IFERROR(VLOOKUP(I98,Grading_Scale!$A$3:$B$12,2,TRUE()),"")</f>
        <v>Akanshi-3</v>
      </c>
      <c r="K98" s="34"/>
    </row>
    <row r="99" spans="1:11" ht="31.5" customHeight="1" x14ac:dyDescent="0.3">
      <c r="A99" s="31" t="s">
        <v>414</v>
      </c>
      <c r="B99" s="25" t="s">
        <v>419</v>
      </c>
      <c r="C99" s="14" t="s">
        <v>420</v>
      </c>
      <c r="D99" s="25" t="s">
        <v>241</v>
      </c>
      <c r="E99" s="25">
        <v>5</v>
      </c>
      <c r="F99" s="32"/>
      <c r="G99" s="32"/>
      <c r="H99" s="32">
        <v>5</v>
      </c>
      <c r="I99" s="33">
        <f t="shared" si="2"/>
        <v>100</v>
      </c>
      <c r="J99" s="25" t="str">
        <f>IFERROR(VLOOKUP(I99,Grading_Scale!$A$3:$B$12,2,TRUE()),"")</f>
        <v>Daksh</v>
      </c>
      <c r="K99" s="34"/>
    </row>
    <row r="100" spans="1:11" ht="31.5" customHeight="1" x14ac:dyDescent="0.3">
      <c r="A100" s="31" t="s">
        <v>414</v>
      </c>
      <c r="B100" s="25" t="s">
        <v>421</v>
      </c>
      <c r="C100" s="14" t="s">
        <v>422</v>
      </c>
      <c r="D100" s="25" t="s">
        <v>241</v>
      </c>
      <c r="E100" s="25">
        <v>15</v>
      </c>
      <c r="F100" s="32"/>
      <c r="G100" s="32"/>
      <c r="H100" s="32">
        <v>7.6</v>
      </c>
      <c r="I100" s="33">
        <f t="shared" ref="I100:I104" si="3">IF(E100=0,0,H100/E100*100)</f>
        <v>50.666666666666657</v>
      </c>
      <c r="J100" s="25" t="str">
        <f>IFERROR(VLOOKUP(I100,Grading_Scale!$A$3:$B$12,2,TRUE()),"")</f>
        <v>Prachesta-2</v>
      </c>
      <c r="K100" s="34"/>
    </row>
    <row r="101" spans="1:11" ht="31.5" customHeight="1" x14ac:dyDescent="0.3">
      <c r="A101" s="31" t="s">
        <v>414</v>
      </c>
      <c r="B101" s="25" t="s">
        <v>423</v>
      </c>
      <c r="C101" s="14" t="s">
        <v>424</v>
      </c>
      <c r="D101" s="25" t="s">
        <v>241</v>
      </c>
      <c r="E101" s="25">
        <v>15</v>
      </c>
      <c r="F101" s="32"/>
      <c r="G101" s="32"/>
      <c r="H101" s="32">
        <v>14.1</v>
      </c>
      <c r="I101" s="33">
        <f t="shared" si="3"/>
        <v>94</v>
      </c>
      <c r="J101" s="25" t="str">
        <f>IFERROR(VLOOKUP(I101,Grading_Scale!$A$3:$B$12,2,TRUE()),"")</f>
        <v>Daksh</v>
      </c>
      <c r="K101" s="34"/>
    </row>
    <row r="102" spans="1:11" ht="31.5" customHeight="1" x14ac:dyDescent="0.3">
      <c r="A102" s="31" t="s">
        <v>414</v>
      </c>
      <c r="B102" s="25" t="s">
        <v>425</v>
      </c>
      <c r="C102" s="14" t="s">
        <v>426</v>
      </c>
      <c r="D102" s="25" t="s">
        <v>241</v>
      </c>
      <c r="E102" s="25">
        <v>15</v>
      </c>
      <c r="F102" s="32"/>
      <c r="G102" s="32"/>
      <c r="H102" s="32">
        <v>14</v>
      </c>
      <c r="I102" s="33">
        <f t="shared" si="3"/>
        <v>93.333333333333329</v>
      </c>
      <c r="J102" s="25" t="str">
        <f>IFERROR(VLOOKUP(I102,Grading_Scale!$A$3:$B$12,2,TRUE()),"")</f>
        <v>Daksh</v>
      </c>
      <c r="K102" s="34"/>
    </row>
    <row r="103" spans="1:11" ht="31.5" customHeight="1" x14ac:dyDescent="0.3">
      <c r="A103" s="31" t="s">
        <v>414</v>
      </c>
      <c r="B103" s="25" t="s">
        <v>427</v>
      </c>
      <c r="C103" s="14" t="s">
        <v>428</v>
      </c>
      <c r="D103" s="25" t="s">
        <v>241</v>
      </c>
      <c r="E103" s="25">
        <v>15</v>
      </c>
      <c r="F103" s="32"/>
      <c r="G103" s="32"/>
      <c r="H103" s="32">
        <v>14.4</v>
      </c>
      <c r="I103" s="33">
        <f t="shared" si="3"/>
        <v>96.000000000000014</v>
      </c>
      <c r="J103" s="25" t="str">
        <f>IFERROR(VLOOKUP(I103,Grading_Scale!$A$3:$B$12,2,TRUE()),"")</f>
        <v>Daksh</v>
      </c>
      <c r="K103" s="34"/>
    </row>
    <row r="104" spans="1:11" ht="31.5" customHeight="1" x14ac:dyDescent="0.3">
      <c r="A104" s="31" t="s">
        <v>414</v>
      </c>
      <c r="B104" s="25" t="s">
        <v>429</v>
      </c>
      <c r="C104" s="14" t="s">
        <v>430</v>
      </c>
      <c r="D104" s="25" t="s">
        <v>241</v>
      </c>
      <c r="E104" s="25">
        <v>15</v>
      </c>
      <c r="F104" s="32"/>
      <c r="G104" s="32"/>
      <c r="H104" s="32">
        <v>14.5</v>
      </c>
      <c r="I104" s="33">
        <f t="shared" si="3"/>
        <v>96.666666666666671</v>
      </c>
      <c r="J104" s="25" t="str">
        <f>IFERROR(VLOOKUP(I104,Grading_Scale!$A$3:$B$12,2,TRUE()),"")</f>
        <v>Daksh</v>
      </c>
      <c r="K104" s="34"/>
    </row>
    <row r="106" spans="1:11" x14ac:dyDescent="0.3">
      <c r="A106" s="35" t="s">
        <v>431</v>
      </c>
    </row>
    <row r="107" spans="1:11" ht="24" customHeight="1" x14ac:dyDescent="0.3">
      <c r="A107" s="36" t="s">
        <v>208</v>
      </c>
      <c r="B107" s="36" t="s">
        <v>432</v>
      </c>
      <c r="C107" s="36" t="s">
        <v>212</v>
      </c>
      <c r="D107" s="36" t="s">
        <v>213</v>
      </c>
      <c r="E107" s="36" t="s">
        <v>214</v>
      </c>
      <c r="F107" s="36" t="s">
        <v>215</v>
      </c>
      <c r="G107" s="36" t="s">
        <v>216</v>
      </c>
    </row>
    <row r="108" spans="1:11" ht="31.2" x14ac:dyDescent="0.3">
      <c r="A108" s="37" t="s">
        <v>218</v>
      </c>
      <c r="B108" s="38">
        <f>SUM(E4:E12)</f>
        <v>240</v>
      </c>
      <c r="C108" s="38">
        <f>SUM(F4:F12)</f>
        <v>0</v>
      </c>
      <c r="D108" s="38">
        <f>SUM(G4:G12)</f>
        <v>0</v>
      </c>
      <c r="E108" s="38">
        <f>SUM(H4:H12)</f>
        <v>58.5</v>
      </c>
      <c r="F108" s="39">
        <f t="shared" ref="F108:F114" si="4">IF(B108=0,0,E108/B108*100)</f>
        <v>24.375</v>
      </c>
      <c r="G108" s="38" t="str">
        <f>IFERROR(VLOOKUP(F108,Grading_Scale!$A$3:$B$12,2,TRUE()),"")</f>
        <v>Akanshi-1</v>
      </c>
    </row>
    <row r="109" spans="1:11" x14ac:dyDescent="0.3">
      <c r="A109" s="37" t="s">
        <v>238</v>
      </c>
      <c r="B109" s="38">
        <f>SUM(E13:E20)</f>
        <v>80</v>
      </c>
      <c r="C109" s="38">
        <f>SUM(F13:F20)</f>
        <v>0</v>
      </c>
      <c r="D109" s="38">
        <f>SUM(G13:G20)</f>
        <v>0</v>
      </c>
      <c r="E109" s="38">
        <f>SUM(H13:H20)</f>
        <v>62.399999999999991</v>
      </c>
      <c r="F109" s="39">
        <f t="shared" si="4"/>
        <v>77.999999999999986</v>
      </c>
      <c r="G109" s="38" t="str">
        <f>IFERROR(VLOOKUP(F109,Grading_Scale!$A$3:$B$12,2,TRUE()),"")</f>
        <v>Atti-Uttam</v>
      </c>
    </row>
    <row r="110" spans="1:11" x14ac:dyDescent="0.3">
      <c r="A110" s="37" t="s">
        <v>256</v>
      </c>
      <c r="B110" s="38">
        <f>SUM(E21:E44)</f>
        <v>190</v>
      </c>
      <c r="C110" s="38">
        <f>SUM(F21:F44)</f>
        <v>0</v>
      </c>
      <c r="D110" s="38">
        <f>SUM(G21:G44)</f>
        <v>0</v>
      </c>
      <c r="E110" s="38">
        <f>SUM(H21:H44)</f>
        <v>81.36999999999999</v>
      </c>
      <c r="F110" s="39">
        <f t="shared" si="4"/>
        <v>42.826315789473682</v>
      </c>
      <c r="G110" s="38" t="str">
        <f>IFERROR(VLOOKUP(F110,Grading_Scale!$A$3:$B$12,2,TRUE()),"")</f>
        <v>Prachesta-2</v>
      </c>
    </row>
    <row r="111" spans="1:11" x14ac:dyDescent="0.3">
      <c r="A111" s="37" t="s">
        <v>306</v>
      </c>
      <c r="B111" s="38">
        <f>SUM(E45:E80)</f>
        <v>260</v>
      </c>
      <c r="C111" s="38">
        <f>SUM(F45:F80)</f>
        <v>0</v>
      </c>
      <c r="D111" s="38">
        <f>SUM(G45:G80)</f>
        <v>0</v>
      </c>
      <c r="E111" s="38">
        <f>SUM(H45:H80)</f>
        <v>227.99999999999997</v>
      </c>
      <c r="F111" s="39">
        <f t="shared" si="4"/>
        <v>87.692307692307679</v>
      </c>
      <c r="G111" s="38" t="str">
        <f>IFERROR(VLOOKUP(F111,Grading_Scale!$A$3:$B$12,2,TRUE()),"")</f>
        <v>Utkarsh</v>
      </c>
    </row>
    <row r="112" spans="1:11" x14ac:dyDescent="0.3">
      <c r="A112" s="37" t="s">
        <v>379</v>
      </c>
      <c r="B112" s="38">
        <f>SUM(E81:E96)</f>
        <v>130</v>
      </c>
      <c r="C112" s="38">
        <f>SUM(F81:F96)</f>
        <v>0</v>
      </c>
      <c r="D112" s="38">
        <f>SUM(G81:G96)</f>
        <v>0</v>
      </c>
      <c r="E112" s="38">
        <f>SUM(H81:H96)</f>
        <v>78.399999999999991</v>
      </c>
      <c r="F112" s="39">
        <f t="shared" si="4"/>
        <v>60.307692307692307</v>
      </c>
      <c r="G112" s="38" t="str">
        <f>IFERROR(VLOOKUP(F112,Grading_Scale!$A$3:$B$12,2,TRUE()),"")</f>
        <v>Prachesta-1</v>
      </c>
    </row>
    <row r="113" spans="1:7" ht="31.2" x14ac:dyDescent="0.3">
      <c r="A113" s="37" t="s">
        <v>414</v>
      </c>
      <c r="B113" s="38">
        <f>SUM(E97:E104)</f>
        <v>100</v>
      </c>
      <c r="C113" s="38">
        <f>SUM(F97:F104)</f>
        <v>0</v>
      </c>
      <c r="D113" s="38">
        <f>SUM(G97:G104)</f>
        <v>0</v>
      </c>
      <c r="E113" s="38">
        <f>SUM(H97:H104)</f>
        <v>74.2</v>
      </c>
      <c r="F113" s="39">
        <f t="shared" si="4"/>
        <v>74.2</v>
      </c>
      <c r="G113" s="38" t="str">
        <f>IFERROR(VLOOKUP(F113,Grading_Scale!$A$3:$B$12,2,TRUE()),"")</f>
        <v>Atti-Uttam</v>
      </c>
    </row>
    <row r="114" spans="1:7" x14ac:dyDescent="0.3">
      <c r="A114" s="40" t="s">
        <v>433</v>
      </c>
      <c r="B114" s="41">
        <f>SUM(B108:B113)</f>
        <v>1000</v>
      </c>
      <c r="C114" s="41">
        <f>SUM(C108:C113)</f>
        <v>0</v>
      </c>
      <c r="D114" s="41">
        <f>SUM(D108:D113)</f>
        <v>0</v>
      </c>
      <c r="E114" s="41">
        <f>SUM(E108:E113)</f>
        <v>582.87</v>
      </c>
      <c r="F114" s="42">
        <f t="shared" si="4"/>
        <v>58.286999999999999</v>
      </c>
      <c r="G114" s="41" t="str">
        <f>IFERROR(VLOOKUP(F114,Grading_Scale!$A$3:$B$12,2,TRUE()),"")</f>
        <v>Prachesta-1</v>
      </c>
    </row>
  </sheetData>
  <mergeCells count="2">
    <mergeCell ref="A1:K1"/>
    <mergeCell ref="A2:K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A1:AO94"/>
  <sheetViews>
    <sheetView showGridLines="0" zoomScaleNormal="100" workbookViewId="0">
      <selection activeCell="D4" sqref="D4:D73"/>
    </sheetView>
  </sheetViews>
  <sheetFormatPr defaultColWidth="8.6640625" defaultRowHeight="15.6" x14ac:dyDescent="0.3"/>
  <cols>
    <col min="1" max="1" width="37.44140625" style="11" customWidth="1"/>
    <col min="2" max="2" width="32.44140625" style="11" customWidth="1"/>
    <col min="3" max="3" width="9" style="11" customWidth="1"/>
    <col min="4" max="4" width="46" style="11" customWidth="1"/>
    <col min="5" max="5" width="13.77734375" style="11" customWidth="1"/>
    <col min="6" max="6" width="14" style="11" customWidth="1"/>
    <col min="7" max="39" width="14.109375" style="11" customWidth="1"/>
    <col min="40" max="40" width="14" style="11" customWidth="1"/>
    <col min="41" max="41" width="50" style="11" customWidth="1"/>
    <col min="42" max="16384" width="8.6640625" style="11"/>
  </cols>
  <sheetData>
    <row r="1" spans="1:41" ht="25.5" customHeight="1" x14ac:dyDescent="0.3">
      <c r="A1" s="91" t="s">
        <v>777</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row>
    <row r="2" spans="1:41" x14ac:dyDescent="0.3">
      <c r="A2" s="80" t="s">
        <v>434</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row>
    <row r="3" spans="1:41" ht="36" customHeight="1" x14ac:dyDescent="0.3">
      <c r="A3" s="52" t="s">
        <v>435</v>
      </c>
      <c r="B3" s="52" t="s">
        <v>208</v>
      </c>
      <c r="C3" s="52" t="s">
        <v>436</v>
      </c>
      <c r="D3" s="52" t="s">
        <v>209</v>
      </c>
      <c r="E3" s="52" t="s">
        <v>210</v>
      </c>
      <c r="F3" s="52" t="s">
        <v>211</v>
      </c>
      <c r="G3" s="52" t="str">
        <f>Districts_Setup!$B$4</f>
        <v>Ahmedabad</v>
      </c>
      <c r="H3" s="52" t="str">
        <f>Districts_Setup!$B$5</f>
        <v>Amreli</v>
      </c>
      <c r="I3" s="52" t="str">
        <f>Districts_Setup!$B$6</f>
        <v>Anand</v>
      </c>
      <c r="J3" s="52" t="str">
        <f>Districts_Setup!$B$7</f>
        <v>Aravalli</v>
      </c>
      <c r="K3" s="52" t="str">
        <f>Districts_Setup!$B$8</f>
        <v>Banaskantha</v>
      </c>
      <c r="L3" s="52" t="str">
        <f>Districts_Setup!$B$9</f>
        <v>Bharuch</v>
      </c>
      <c r="M3" s="52" t="str">
        <f>Districts_Setup!$B$10</f>
        <v>Bhavnagar</v>
      </c>
      <c r="N3" s="52" t="str">
        <f>Districts_Setup!$B$11</f>
        <v>Botad</v>
      </c>
      <c r="O3" s="52" t="str">
        <f>Districts_Setup!$B$12</f>
        <v>Chhota Udepur</v>
      </c>
      <c r="P3" s="52" t="str">
        <f>Districts_Setup!$B$13</f>
        <v>Dahod</v>
      </c>
      <c r="Q3" s="52" t="str">
        <f>Districts_Setup!$B$14</f>
        <v>Dang</v>
      </c>
      <c r="R3" s="52" t="str">
        <f>Districts_Setup!$B$15</f>
        <v>Devbhoomi Dwarka</v>
      </c>
      <c r="S3" s="52" t="str">
        <f>Districts_Setup!$B$16</f>
        <v>Gandhinagar</v>
      </c>
      <c r="T3" s="52" t="str">
        <f>Districts_Setup!$B$17</f>
        <v>Gir Somnath</v>
      </c>
      <c r="U3" s="52" t="str">
        <f>Districts_Setup!$B$18</f>
        <v>Jamnagar</v>
      </c>
      <c r="V3" s="52" t="str">
        <f>Districts_Setup!$B$19</f>
        <v>Junagadh</v>
      </c>
      <c r="W3" s="52" t="str">
        <f>Districts_Setup!$B$20</f>
        <v>Kutch</v>
      </c>
      <c r="X3" s="52" t="str">
        <f>Districts_Setup!$B$21</f>
        <v>Kheda</v>
      </c>
      <c r="Y3" s="52" t="str">
        <f>Districts_Setup!$B$22</f>
        <v>Mahisagar</v>
      </c>
      <c r="Z3" s="52" t="str">
        <f>Districts_Setup!$B$23</f>
        <v>Mehsana</v>
      </c>
      <c r="AA3" s="52" t="str">
        <f>Districts_Setup!$B$24</f>
        <v>Morbi</v>
      </c>
      <c r="AB3" s="52" t="str">
        <f>Districts_Setup!$B$25</f>
        <v>Narmada</v>
      </c>
      <c r="AC3" s="52" t="str">
        <f>Districts_Setup!$B$26</f>
        <v>Navsari</v>
      </c>
      <c r="AD3" s="52" t="str">
        <f>Districts_Setup!$B$27</f>
        <v>Panchmahal</v>
      </c>
      <c r="AE3" s="52" t="str">
        <f>Districts_Setup!$B$28</f>
        <v>Patan</v>
      </c>
      <c r="AF3" s="52" t="str">
        <f>Districts_Setup!$B$29</f>
        <v>Porbandar</v>
      </c>
      <c r="AG3" s="52" t="str">
        <f>Districts_Setup!$B$30</f>
        <v>Rajkot</v>
      </c>
      <c r="AH3" s="52" t="str">
        <f>Districts_Setup!$B$31</f>
        <v>Sabarkantha</v>
      </c>
      <c r="AI3" s="52" t="str">
        <f>Districts_Setup!$B$32</f>
        <v>Surat</v>
      </c>
      <c r="AJ3" s="52" t="str">
        <f>Districts_Setup!$B$33</f>
        <v>Surendranagar</v>
      </c>
      <c r="AK3" s="52" t="str">
        <f>Districts_Setup!$B$34</f>
        <v>Tapi</v>
      </c>
      <c r="AL3" s="52" t="str">
        <f>Districts_Setup!$B$35</f>
        <v>Vadodara</v>
      </c>
      <c r="AM3" s="52" t="str">
        <f>Districts_Setup!$B$36</f>
        <v>Valsad</v>
      </c>
      <c r="AN3" s="53" t="s">
        <v>437</v>
      </c>
      <c r="AO3" s="53" t="s">
        <v>217</v>
      </c>
    </row>
    <row r="4" spans="1:41" ht="30" customHeight="1" x14ac:dyDescent="0.3">
      <c r="A4" s="31" t="s">
        <v>438</v>
      </c>
      <c r="B4" s="45" t="s">
        <v>439</v>
      </c>
      <c r="C4" s="25" t="s">
        <v>440</v>
      </c>
      <c r="D4" s="14" t="s">
        <v>801</v>
      </c>
      <c r="E4" s="25" t="s">
        <v>907</v>
      </c>
      <c r="F4" s="25">
        <v>20</v>
      </c>
      <c r="G4" s="32">
        <v>10.4</v>
      </c>
      <c r="H4" s="32">
        <v>8.4700000000000006</v>
      </c>
      <c r="I4" s="32">
        <v>9.7200000000000006</v>
      </c>
      <c r="J4" s="32">
        <v>7.72</v>
      </c>
      <c r="K4" s="32">
        <v>8.18</v>
      </c>
      <c r="L4" s="32">
        <v>9.6199999999999992</v>
      </c>
      <c r="M4" s="32">
        <v>11.55</v>
      </c>
      <c r="N4" s="32">
        <v>9.76</v>
      </c>
      <c r="O4" s="32">
        <v>7.8</v>
      </c>
      <c r="P4" s="32">
        <v>10.56</v>
      </c>
      <c r="Q4" s="32">
        <v>10.69</v>
      </c>
      <c r="R4" s="32">
        <v>8.8800000000000008</v>
      </c>
      <c r="S4" s="32">
        <v>11.65</v>
      </c>
      <c r="T4" s="32">
        <v>6.39</v>
      </c>
      <c r="U4" s="32">
        <v>5.78</v>
      </c>
      <c r="V4" s="32">
        <v>8.91</v>
      </c>
      <c r="W4" s="32">
        <v>7.62</v>
      </c>
      <c r="X4" s="32">
        <v>7.85</v>
      </c>
      <c r="Y4" s="32">
        <v>10.26</v>
      </c>
      <c r="Z4" s="32">
        <v>9.67</v>
      </c>
      <c r="AA4" s="32">
        <v>9.8699999999999992</v>
      </c>
      <c r="AB4" s="32">
        <v>10.01</v>
      </c>
      <c r="AC4" s="32">
        <v>8.8699999999999992</v>
      </c>
      <c r="AD4" s="32">
        <v>10.44</v>
      </c>
      <c r="AE4" s="32">
        <v>7.87</v>
      </c>
      <c r="AF4" s="32">
        <v>6.99</v>
      </c>
      <c r="AG4" s="32">
        <v>9.2899999999999991</v>
      </c>
      <c r="AH4" s="32">
        <v>11.75</v>
      </c>
      <c r="AI4" s="32">
        <v>8.85</v>
      </c>
      <c r="AJ4" s="32">
        <v>10.61</v>
      </c>
      <c r="AK4" s="32">
        <v>10.88</v>
      </c>
      <c r="AL4" s="32">
        <v>7.65</v>
      </c>
      <c r="AM4" s="32">
        <v>9.77</v>
      </c>
      <c r="AN4" s="33">
        <f>IFERROR(AVERAGE(G4:AM4),0)</f>
        <v>9.2221212121212091</v>
      </c>
      <c r="AO4" s="34" t="s">
        <v>441</v>
      </c>
    </row>
    <row r="5" spans="1:41" ht="30" customHeight="1" x14ac:dyDescent="0.3">
      <c r="A5" s="31" t="s">
        <v>438</v>
      </c>
      <c r="B5" s="45" t="s">
        <v>439</v>
      </c>
      <c r="C5" s="25" t="s">
        <v>802</v>
      </c>
      <c r="D5" s="14" t="s">
        <v>803</v>
      </c>
      <c r="E5" s="25" t="s">
        <v>907</v>
      </c>
      <c r="F5" s="25">
        <v>20</v>
      </c>
      <c r="G5" s="32">
        <v>9.1199999999999992</v>
      </c>
      <c r="H5" s="32">
        <v>7.04</v>
      </c>
      <c r="I5" s="32">
        <v>7.62</v>
      </c>
      <c r="J5" s="32">
        <v>6.16</v>
      </c>
      <c r="K5" s="32">
        <v>6.44</v>
      </c>
      <c r="L5" s="32">
        <v>8</v>
      </c>
      <c r="M5" s="32">
        <v>10.07</v>
      </c>
      <c r="N5" s="32">
        <v>7.71</v>
      </c>
      <c r="O5" s="32">
        <v>6.51</v>
      </c>
      <c r="P5" s="32">
        <v>9.14</v>
      </c>
      <c r="Q5" s="32">
        <v>9.18</v>
      </c>
      <c r="R5" s="32">
        <v>7.38</v>
      </c>
      <c r="S5" s="32">
        <v>10.44</v>
      </c>
      <c r="T5" s="32">
        <v>5.24</v>
      </c>
      <c r="U5" s="32">
        <v>4.26</v>
      </c>
      <c r="V5" s="32">
        <v>6.67</v>
      </c>
      <c r="W5" s="32">
        <v>6.12</v>
      </c>
      <c r="X5" s="32">
        <v>6.14</v>
      </c>
      <c r="Y5" s="32">
        <v>8.23</v>
      </c>
      <c r="Z5" s="32">
        <v>8.07</v>
      </c>
      <c r="AA5" s="32">
        <v>7.88</v>
      </c>
      <c r="AB5" s="32">
        <v>8.4600000000000009</v>
      </c>
      <c r="AC5" s="32">
        <v>6.97</v>
      </c>
      <c r="AD5" s="32">
        <v>9</v>
      </c>
      <c r="AE5" s="32">
        <v>6.23</v>
      </c>
      <c r="AF5" s="32">
        <v>5.39</v>
      </c>
      <c r="AG5" s="32">
        <v>7.56</v>
      </c>
      <c r="AH5" s="32">
        <v>10.74</v>
      </c>
      <c r="AI5" s="32">
        <v>6.87</v>
      </c>
      <c r="AJ5" s="32">
        <v>8.7100000000000009</v>
      </c>
      <c r="AK5" s="32">
        <v>9.4499999999999993</v>
      </c>
      <c r="AL5" s="32">
        <v>5.9</v>
      </c>
      <c r="AM5" s="32">
        <v>8.3800000000000008</v>
      </c>
      <c r="AN5" s="33">
        <f t="shared" ref="AN5:AN35" si="0">IFERROR(AVERAGE(G5:AM5),0)</f>
        <v>7.6084848484848484</v>
      </c>
      <c r="AO5" s="34"/>
    </row>
    <row r="6" spans="1:41" ht="30" customHeight="1" x14ac:dyDescent="0.3">
      <c r="A6" s="31" t="s">
        <v>438</v>
      </c>
      <c r="B6" s="45" t="s">
        <v>439</v>
      </c>
      <c r="C6" s="25" t="s">
        <v>804</v>
      </c>
      <c r="D6" s="14" t="s">
        <v>805</v>
      </c>
      <c r="E6" s="25" t="s">
        <v>907</v>
      </c>
      <c r="F6" s="25">
        <v>20</v>
      </c>
      <c r="G6" s="32">
        <v>4.3</v>
      </c>
      <c r="H6" s="32">
        <v>3.34</v>
      </c>
      <c r="I6" s="32">
        <v>4.8899999999999997</v>
      </c>
      <c r="J6" s="32">
        <v>3.52</v>
      </c>
      <c r="K6" s="32">
        <v>4.29</v>
      </c>
      <c r="L6" s="32">
        <v>2.71</v>
      </c>
      <c r="M6" s="32">
        <v>4.55</v>
      </c>
      <c r="N6" s="32">
        <v>3.31</v>
      </c>
      <c r="O6" s="32">
        <v>2.94</v>
      </c>
      <c r="P6" s="32">
        <v>4.45</v>
      </c>
      <c r="Q6" s="32">
        <v>5.34</v>
      </c>
      <c r="R6" s="32">
        <v>5.61</v>
      </c>
      <c r="S6" s="32">
        <v>5.2</v>
      </c>
      <c r="T6" s="32">
        <v>3</v>
      </c>
      <c r="U6" s="32">
        <v>4.03</v>
      </c>
      <c r="V6" s="32">
        <v>5.17</v>
      </c>
      <c r="W6" s="32">
        <v>4.6100000000000003</v>
      </c>
      <c r="X6" s="32">
        <v>3.32</v>
      </c>
      <c r="Y6" s="32">
        <v>3.55</v>
      </c>
      <c r="Z6" s="32">
        <v>4.62</v>
      </c>
      <c r="AA6" s="32">
        <v>3.96</v>
      </c>
      <c r="AB6" s="32">
        <v>3.51</v>
      </c>
      <c r="AC6" s="32">
        <v>4.04</v>
      </c>
      <c r="AD6" s="32">
        <v>4.6399999999999997</v>
      </c>
      <c r="AE6" s="32">
        <v>4.6399999999999997</v>
      </c>
      <c r="AF6" s="32">
        <v>4.21</v>
      </c>
      <c r="AG6" s="32">
        <v>4.04</v>
      </c>
      <c r="AH6" s="32">
        <v>3.84</v>
      </c>
      <c r="AI6" s="32">
        <v>5.18</v>
      </c>
      <c r="AJ6" s="32">
        <v>5.31</v>
      </c>
      <c r="AK6" s="32">
        <v>4.9400000000000004</v>
      </c>
      <c r="AL6" s="32">
        <v>5.13</v>
      </c>
      <c r="AM6" s="32">
        <v>4.28</v>
      </c>
      <c r="AN6" s="33">
        <f t="shared" si="0"/>
        <v>4.2566666666666668</v>
      </c>
      <c r="AO6" s="34"/>
    </row>
    <row r="7" spans="1:41" ht="30" customHeight="1" x14ac:dyDescent="0.3">
      <c r="A7" s="31" t="s">
        <v>438</v>
      </c>
      <c r="B7" s="45" t="s">
        <v>439</v>
      </c>
      <c r="C7" s="25" t="s">
        <v>806</v>
      </c>
      <c r="D7" s="14" t="s">
        <v>807</v>
      </c>
      <c r="E7" s="25" t="s">
        <v>907</v>
      </c>
      <c r="F7" s="25">
        <v>20</v>
      </c>
      <c r="G7" s="32">
        <v>4.79</v>
      </c>
      <c r="H7" s="32">
        <v>2.72</v>
      </c>
      <c r="I7" s="32">
        <v>4.82</v>
      </c>
      <c r="J7" s="32">
        <v>3.54</v>
      </c>
      <c r="K7" s="32">
        <v>4.59</v>
      </c>
      <c r="L7" s="32">
        <v>2.88</v>
      </c>
      <c r="M7" s="32">
        <v>4.05</v>
      </c>
      <c r="N7" s="32">
        <v>3.55</v>
      </c>
      <c r="O7" s="32">
        <v>2.48</v>
      </c>
      <c r="P7" s="32">
        <v>5.54</v>
      </c>
      <c r="Q7" s="32">
        <v>3.31</v>
      </c>
      <c r="R7" s="32">
        <v>5.29</v>
      </c>
      <c r="S7" s="32">
        <v>5.65</v>
      </c>
      <c r="T7" s="32">
        <v>4.5199999999999996</v>
      </c>
      <c r="U7" s="32">
        <v>4.32</v>
      </c>
      <c r="V7" s="32">
        <v>5.79</v>
      </c>
      <c r="W7" s="32">
        <v>4.54</v>
      </c>
      <c r="X7" s="32">
        <v>2.84</v>
      </c>
      <c r="Y7" s="32">
        <v>5.03</v>
      </c>
      <c r="Z7" s="32">
        <v>5.21</v>
      </c>
      <c r="AA7" s="32">
        <v>4.8099999999999996</v>
      </c>
      <c r="AB7" s="32">
        <v>3.76</v>
      </c>
      <c r="AC7" s="32">
        <v>3.95</v>
      </c>
      <c r="AD7" s="32">
        <v>5.36</v>
      </c>
      <c r="AE7" s="32">
        <v>4.8099999999999996</v>
      </c>
      <c r="AF7" s="32">
        <v>3.47</v>
      </c>
      <c r="AG7" s="32">
        <v>4.84</v>
      </c>
      <c r="AH7" s="32">
        <v>4.43</v>
      </c>
      <c r="AI7" s="32">
        <v>5.53</v>
      </c>
      <c r="AJ7" s="32">
        <v>5.92</v>
      </c>
      <c r="AK7" s="32">
        <v>5.08</v>
      </c>
      <c r="AL7" s="32">
        <v>5.24</v>
      </c>
      <c r="AM7" s="32">
        <v>4.22</v>
      </c>
      <c r="AN7" s="33">
        <f t="shared" si="0"/>
        <v>4.450909090909092</v>
      </c>
      <c r="AO7" s="34"/>
    </row>
    <row r="8" spans="1:41" ht="30" customHeight="1" x14ac:dyDescent="0.3">
      <c r="A8" s="31" t="s">
        <v>438</v>
      </c>
      <c r="B8" s="45" t="s">
        <v>439</v>
      </c>
      <c r="C8" s="25" t="s">
        <v>808</v>
      </c>
      <c r="D8" s="14" t="s">
        <v>809</v>
      </c>
      <c r="E8" s="25" t="s">
        <v>907</v>
      </c>
      <c r="F8" s="25">
        <v>20</v>
      </c>
      <c r="G8" s="32">
        <v>5.53</v>
      </c>
      <c r="H8" s="32">
        <v>3.92</v>
      </c>
      <c r="I8" s="32">
        <v>5.64</v>
      </c>
      <c r="J8" s="32">
        <v>4.3099999999999996</v>
      </c>
      <c r="K8" s="32">
        <v>5.18</v>
      </c>
      <c r="L8" s="32">
        <v>3.49</v>
      </c>
      <c r="M8" s="32">
        <v>5.43</v>
      </c>
      <c r="N8" s="32">
        <v>4</v>
      </c>
      <c r="O8" s="32">
        <v>3.72</v>
      </c>
      <c r="P8" s="32">
        <v>5.63</v>
      </c>
      <c r="Q8" s="32">
        <v>6.07</v>
      </c>
      <c r="R8" s="32">
        <v>6.16</v>
      </c>
      <c r="S8" s="32">
        <v>6.47</v>
      </c>
      <c r="T8" s="32">
        <v>3.82</v>
      </c>
      <c r="U8" s="32">
        <v>5.25</v>
      </c>
      <c r="V8" s="32">
        <v>5.97</v>
      </c>
      <c r="W8" s="32">
        <v>5.2</v>
      </c>
      <c r="X8" s="32">
        <v>4.34</v>
      </c>
      <c r="Y8" s="32">
        <v>4.76</v>
      </c>
      <c r="Z8" s="32">
        <v>5.55</v>
      </c>
      <c r="AA8" s="32">
        <v>4.8499999999999996</v>
      </c>
      <c r="AB8" s="32">
        <v>4.3899999999999997</v>
      </c>
      <c r="AC8" s="32">
        <v>5.12</v>
      </c>
      <c r="AD8" s="32">
        <v>5.63</v>
      </c>
      <c r="AE8" s="32">
        <v>5.58</v>
      </c>
      <c r="AF8" s="32">
        <v>5.15</v>
      </c>
      <c r="AG8" s="32">
        <v>5.0599999999999996</v>
      </c>
      <c r="AH8" s="32">
        <v>4.8600000000000003</v>
      </c>
      <c r="AI8" s="32">
        <v>6.01</v>
      </c>
      <c r="AJ8" s="32">
        <v>6.49</v>
      </c>
      <c r="AK8" s="32">
        <v>6.36</v>
      </c>
      <c r="AL8" s="32">
        <v>5.87</v>
      </c>
      <c r="AM8" s="32">
        <v>4.7699999999999996</v>
      </c>
      <c r="AN8" s="33">
        <f t="shared" si="0"/>
        <v>5.1690909090909107</v>
      </c>
      <c r="AO8" s="34"/>
    </row>
    <row r="9" spans="1:41" ht="30" customHeight="1" x14ac:dyDescent="0.3">
      <c r="A9" s="31" t="s">
        <v>438</v>
      </c>
      <c r="B9" s="45" t="s">
        <v>439</v>
      </c>
      <c r="C9" s="25" t="s">
        <v>810</v>
      </c>
      <c r="D9" s="14" t="s">
        <v>811</v>
      </c>
      <c r="E9" s="25" t="s">
        <v>907</v>
      </c>
      <c r="F9" s="25">
        <v>20</v>
      </c>
      <c r="G9" s="32">
        <v>4.2699999999999996</v>
      </c>
      <c r="H9" s="32">
        <v>3.86</v>
      </c>
      <c r="I9" s="32">
        <v>4.26</v>
      </c>
      <c r="J9" s="32">
        <v>3.23</v>
      </c>
      <c r="K9" s="32">
        <v>4.3600000000000003</v>
      </c>
      <c r="L9" s="32">
        <v>4.8</v>
      </c>
      <c r="M9" s="32">
        <v>5.64</v>
      </c>
      <c r="N9" s="32">
        <v>3.55</v>
      </c>
      <c r="O9" s="32">
        <v>2.72</v>
      </c>
      <c r="P9" s="32">
        <v>1.88</v>
      </c>
      <c r="Q9" s="32">
        <v>2.79</v>
      </c>
      <c r="R9" s="32">
        <v>5.93</v>
      </c>
      <c r="S9" s="32">
        <v>7.67</v>
      </c>
      <c r="T9" s="32">
        <v>3.55</v>
      </c>
      <c r="U9" s="32">
        <v>5.54</v>
      </c>
      <c r="V9" s="32">
        <v>5.0999999999999996</v>
      </c>
      <c r="W9" s="32">
        <v>5.88</v>
      </c>
      <c r="X9" s="32">
        <v>3.39</v>
      </c>
      <c r="Y9" s="32">
        <v>3.25</v>
      </c>
      <c r="Z9" s="32">
        <v>4.51</v>
      </c>
      <c r="AA9" s="32">
        <v>4.08</v>
      </c>
      <c r="AB9" s="32">
        <v>4.3600000000000003</v>
      </c>
      <c r="AC9" s="32">
        <v>6.07</v>
      </c>
      <c r="AD9" s="32">
        <v>3.13</v>
      </c>
      <c r="AE9" s="32">
        <v>4.37</v>
      </c>
      <c r="AF9" s="32">
        <v>4.25</v>
      </c>
      <c r="AG9" s="32">
        <v>5.96</v>
      </c>
      <c r="AH9" s="32">
        <v>4.33</v>
      </c>
      <c r="AI9" s="32">
        <v>6.49</v>
      </c>
      <c r="AJ9" s="32">
        <v>3.58</v>
      </c>
      <c r="AK9" s="32">
        <v>5.37</v>
      </c>
      <c r="AL9" s="32">
        <v>6.86</v>
      </c>
      <c r="AM9" s="32">
        <v>5.37</v>
      </c>
      <c r="AN9" s="33">
        <f t="shared" si="0"/>
        <v>4.5575757575757585</v>
      </c>
      <c r="AO9" s="34"/>
    </row>
    <row r="10" spans="1:41" ht="30" customHeight="1" x14ac:dyDescent="0.3">
      <c r="A10" s="31" t="s">
        <v>438</v>
      </c>
      <c r="B10" s="45" t="s">
        <v>439</v>
      </c>
      <c r="C10" s="25" t="s">
        <v>812</v>
      </c>
      <c r="D10" s="14" t="s">
        <v>813</v>
      </c>
      <c r="E10" s="25" t="s">
        <v>907</v>
      </c>
      <c r="F10" s="25">
        <v>20</v>
      </c>
      <c r="G10" s="32">
        <v>0.91</v>
      </c>
      <c r="H10" s="32">
        <v>0.23</v>
      </c>
      <c r="I10" s="32">
        <v>0.34</v>
      </c>
      <c r="J10" s="32">
        <v>0.22</v>
      </c>
      <c r="K10" s="32">
        <v>0.35</v>
      </c>
      <c r="L10" s="32">
        <v>0.93</v>
      </c>
      <c r="M10" s="32">
        <v>0.3</v>
      </c>
      <c r="N10" s="32">
        <v>0.11</v>
      </c>
      <c r="O10" s="32">
        <v>0.14000000000000001</v>
      </c>
      <c r="P10" s="32">
        <v>0.32</v>
      </c>
      <c r="Q10" s="32">
        <v>0.03</v>
      </c>
      <c r="R10" s="32">
        <v>0.34</v>
      </c>
      <c r="S10" s="32">
        <v>1.39</v>
      </c>
      <c r="T10" s="32">
        <v>0.47</v>
      </c>
      <c r="U10" s="32">
        <v>0.77</v>
      </c>
      <c r="V10" s="32">
        <v>0.41</v>
      </c>
      <c r="W10" s="32">
        <v>0.99</v>
      </c>
      <c r="X10" s="32">
        <v>0.31</v>
      </c>
      <c r="Y10" s="32">
        <v>0.28999999999999998</v>
      </c>
      <c r="Z10" s="32">
        <v>0.6</v>
      </c>
      <c r="AA10" s="32">
        <v>0.14000000000000001</v>
      </c>
      <c r="AB10" s="32">
        <v>0.15</v>
      </c>
      <c r="AC10" s="32">
        <v>0.71</v>
      </c>
      <c r="AD10" s="32">
        <v>0.26</v>
      </c>
      <c r="AE10" s="32">
        <v>0.6</v>
      </c>
      <c r="AF10" s="32">
        <v>0.21</v>
      </c>
      <c r="AG10" s="32">
        <v>0.83</v>
      </c>
      <c r="AH10" s="32">
        <v>0.52</v>
      </c>
      <c r="AI10" s="32">
        <v>1.23</v>
      </c>
      <c r="AJ10" s="32">
        <v>0.34</v>
      </c>
      <c r="AK10" s="32">
        <v>0.35</v>
      </c>
      <c r="AL10" s="32">
        <v>1.89</v>
      </c>
      <c r="AM10" s="32">
        <v>0.81</v>
      </c>
      <c r="AN10" s="33">
        <f t="shared" si="0"/>
        <v>0.52999999999999992</v>
      </c>
      <c r="AO10" s="34"/>
    </row>
    <row r="11" spans="1:41" ht="30" customHeight="1" x14ac:dyDescent="0.3">
      <c r="A11" s="31" t="s">
        <v>438</v>
      </c>
      <c r="B11" s="45" t="s">
        <v>439</v>
      </c>
      <c r="C11" s="25" t="s">
        <v>814</v>
      </c>
      <c r="D11" s="14" t="s">
        <v>815</v>
      </c>
      <c r="E11" s="25" t="s">
        <v>907</v>
      </c>
      <c r="F11" s="25">
        <v>20</v>
      </c>
      <c r="G11" s="32">
        <v>1.82</v>
      </c>
      <c r="H11" s="32">
        <v>0.78</v>
      </c>
      <c r="I11" s="32">
        <v>1.22</v>
      </c>
      <c r="J11" s="32">
        <v>0.87</v>
      </c>
      <c r="K11" s="32">
        <v>0.96</v>
      </c>
      <c r="L11" s="32">
        <v>1.79</v>
      </c>
      <c r="M11" s="32">
        <v>1.37</v>
      </c>
      <c r="N11" s="32">
        <v>0.66</v>
      </c>
      <c r="O11" s="32">
        <v>0.47</v>
      </c>
      <c r="P11" s="32">
        <v>0.56999999999999995</v>
      </c>
      <c r="Q11" s="32">
        <v>0.3</v>
      </c>
      <c r="R11" s="32">
        <v>1.48</v>
      </c>
      <c r="S11" s="32">
        <v>3.14</v>
      </c>
      <c r="T11" s="32">
        <v>1.22</v>
      </c>
      <c r="U11" s="32">
        <v>1.9</v>
      </c>
      <c r="V11" s="32">
        <v>1.49</v>
      </c>
      <c r="W11" s="32">
        <v>2.2999999999999998</v>
      </c>
      <c r="X11" s="32">
        <v>0.88</v>
      </c>
      <c r="Y11" s="32">
        <v>0.79</v>
      </c>
      <c r="Z11" s="32">
        <v>1.49</v>
      </c>
      <c r="AA11" s="32">
        <v>0.76</v>
      </c>
      <c r="AB11" s="32">
        <v>0.84</v>
      </c>
      <c r="AC11" s="32">
        <v>2.16</v>
      </c>
      <c r="AD11" s="32">
        <v>0.81</v>
      </c>
      <c r="AE11" s="32">
        <v>1.47</v>
      </c>
      <c r="AF11" s="32">
        <v>0.84</v>
      </c>
      <c r="AG11" s="32">
        <v>2.02</v>
      </c>
      <c r="AH11" s="32">
        <v>1.25</v>
      </c>
      <c r="AI11" s="32">
        <v>2.4900000000000002</v>
      </c>
      <c r="AJ11" s="32">
        <v>0.96</v>
      </c>
      <c r="AK11" s="32">
        <v>1.43</v>
      </c>
      <c r="AL11" s="32">
        <v>3.49</v>
      </c>
      <c r="AM11" s="32">
        <v>2.29</v>
      </c>
      <c r="AN11" s="33">
        <f t="shared" si="0"/>
        <v>1.4033333333333333</v>
      </c>
      <c r="AO11" s="34"/>
    </row>
    <row r="12" spans="1:41" ht="30" customHeight="1" x14ac:dyDescent="0.3">
      <c r="A12" s="31" t="s">
        <v>438</v>
      </c>
      <c r="B12" s="45" t="s">
        <v>439</v>
      </c>
      <c r="C12" s="25" t="s">
        <v>816</v>
      </c>
      <c r="D12" s="14" t="s">
        <v>817</v>
      </c>
      <c r="E12" s="25" t="s">
        <v>907</v>
      </c>
      <c r="F12" s="25">
        <v>20</v>
      </c>
      <c r="G12" s="32">
        <v>3.33</v>
      </c>
      <c r="H12" s="32">
        <v>3.58</v>
      </c>
      <c r="I12" s="32">
        <v>3.23</v>
      </c>
      <c r="J12" s="32">
        <v>2.56</v>
      </c>
      <c r="K12" s="32">
        <v>3.46</v>
      </c>
      <c r="L12" s="32">
        <v>3.8</v>
      </c>
      <c r="M12" s="32">
        <v>4.96</v>
      </c>
      <c r="N12" s="32">
        <v>3.06</v>
      </c>
      <c r="O12" s="32">
        <v>2.4</v>
      </c>
      <c r="P12" s="32">
        <v>1.41</v>
      </c>
      <c r="Q12" s="32">
        <v>2.59</v>
      </c>
      <c r="R12" s="32">
        <v>4.8600000000000003</v>
      </c>
      <c r="S12" s="32">
        <v>6.56</v>
      </c>
      <c r="T12" s="32">
        <v>2.92</v>
      </c>
      <c r="U12" s="32">
        <v>4.67</v>
      </c>
      <c r="V12" s="32">
        <v>4.54</v>
      </c>
      <c r="W12" s="32">
        <v>4.47</v>
      </c>
      <c r="X12" s="32">
        <v>2.5499999999999998</v>
      </c>
      <c r="Y12" s="32">
        <v>2.17</v>
      </c>
      <c r="Z12" s="32">
        <v>3.76</v>
      </c>
      <c r="AA12" s="32">
        <v>3.43</v>
      </c>
      <c r="AB12" s="32">
        <v>3.09</v>
      </c>
      <c r="AC12" s="32">
        <v>5.0599999999999996</v>
      </c>
      <c r="AD12" s="32">
        <v>2.54</v>
      </c>
      <c r="AE12" s="32">
        <v>3.58</v>
      </c>
      <c r="AF12" s="32">
        <v>3.15</v>
      </c>
      <c r="AG12" s="32">
        <v>5.09</v>
      </c>
      <c r="AH12" s="32">
        <v>3.49</v>
      </c>
      <c r="AI12" s="32">
        <v>5.56</v>
      </c>
      <c r="AJ12" s="32">
        <v>2.93</v>
      </c>
      <c r="AK12" s="32">
        <v>4.37</v>
      </c>
      <c r="AL12" s="32">
        <v>5.83</v>
      </c>
      <c r="AM12" s="32">
        <v>4.5999999999999996</v>
      </c>
      <c r="AN12" s="33">
        <f t="shared" si="0"/>
        <v>3.7454545454545465</v>
      </c>
      <c r="AO12" s="34"/>
    </row>
    <row r="13" spans="1:41" ht="30" customHeight="1" x14ac:dyDescent="0.3">
      <c r="A13" s="31" t="s">
        <v>438</v>
      </c>
      <c r="B13" s="45" t="s">
        <v>442</v>
      </c>
      <c r="C13" s="25" t="s">
        <v>818</v>
      </c>
      <c r="D13" s="14" t="s">
        <v>819</v>
      </c>
      <c r="E13" s="25" t="s">
        <v>241</v>
      </c>
      <c r="F13" s="25">
        <v>20</v>
      </c>
      <c r="G13" s="32">
        <v>17.43</v>
      </c>
      <c r="H13" s="32">
        <v>18.989999999999998</v>
      </c>
      <c r="I13" s="32">
        <v>19.29</v>
      </c>
      <c r="J13" s="32">
        <v>18.649999999999999</v>
      </c>
      <c r="K13" s="32">
        <v>18.57</v>
      </c>
      <c r="L13" s="32">
        <v>18.52</v>
      </c>
      <c r="M13" s="32">
        <v>18.8</v>
      </c>
      <c r="N13" s="32">
        <v>19.309999999999999</v>
      </c>
      <c r="O13" s="32">
        <v>18.75</v>
      </c>
      <c r="P13" s="32">
        <v>18.37</v>
      </c>
      <c r="Q13" s="32">
        <v>19.66</v>
      </c>
      <c r="R13" s="32">
        <v>18.68</v>
      </c>
      <c r="S13" s="32">
        <v>17.75</v>
      </c>
      <c r="T13" s="32">
        <v>19.2</v>
      </c>
      <c r="U13" s="32">
        <v>17.59</v>
      </c>
      <c r="V13" s="32">
        <v>18.940000000000001</v>
      </c>
      <c r="W13" s="32">
        <v>18.11</v>
      </c>
      <c r="X13" s="32">
        <v>19.25</v>
      </c>
      <c r="Y13" s="32">
        <v>19.14</v>
      </c>
      <c r="Z13" s="32">
        <v>18.8</v>
      </c>
      <c r="AA13" s="32">
        <v>18</v>
      </c>
      <c r="AB13" s="32">
        <v>19.37</v>
      </c>
      <c r="AC13" s="32">
        <v>19.34</v>
      </c>
      <c r="AD13" s="32">
        <v>19.149999999999999</v>
      </c>
      <c r="AE13" s="32">
        <v>18.77</v>
      </c>
      <c r="AF13" s="32">
        <v>18.670000000000002</v>
      </c>
      <c r="AG13" s="32">
        <v>17.96</v>
      </c>
      <c r="AH13" s="32">
        <v>18.43</v>
      </c>
      <c r="AI13" s="32">
        <v>17.54</v>
      </c>
      <c r="AJ13" s="32">
        <v>18.989999999999998</v>
      </c>
      <c r="AK13" s="32">
        <v>19.12</v>
      </c>
      <c r="AL13" s="32">
        <v>18.440000000000001</v>
      </c>
      <c r="AM13" s="32">
        <v>18.760000000000002</v>
      </c>
      <c r="AN13" s="33">
        <f t="shared" si="0"/>
        <v>18.676969696969696</v>
      </c>
      <c r="AO13" s="34"/>
    </row>
    <row r="14" spans="1:41" ht="30" customHeight="1" x14ac:dyDescent="0.3">
      <c r="A14" s="31" t="s">
        <v>438</v>
      </c>
      <c r="B14" s="45" t="s">
        <v>442</v>
      </c>
      <c r="C14" s="25" t="s">
        <v>820</v>
      </c>
      <c r="D14" s="14" t="s">
        <v>821</v>
      </c>
      <c r="E14" s="25" t="s">
        <v>241</v>
      </c>
      <c r="F14" s="25">
        <v>5</v>
      </c>
      <c r="G14" s="32">
        <v>4.82</v>
      </c>
      <c r="H14" s="32">
        <v>4.83</v>
      </c>
      <c r="I14" s="32">
        <v>4.8600000000000003</v>
      </c>
      <c r="J14" s="32">
        <v>4.87</v>
      </c>
      <c r="K14" s="32">
        <v>4.47</v>
      </c>
      <c r="L14" s="32">
        <v>4.8099999999999996</v>
      </c>
      <c r="M14" s="32">
        <v>4.74</v>
      </c>
      <c r="N14" s="32">
        <v>4.8600000000000003</v>
      </c>
      <c r="O14" s="32">
        <v>4.43</v>
      </c>
      <c r="P14" s="32">
        <v>4.58</v>
      </c>
      <c r="Q14" s="32">
        <v>4.53</v>
      </c>
      <c r="R14" s="32">
        <v>4.72</v>
      </c>
      <c r="S14" s="32">
        <v>4.9400000000000004</v>
      </c>
      <c r="T14" s="32">
        <v>4.83</v>
      </c>
      <c r="U14" s="32">
        <v>4.7699999999999996</v>
      </c>
      <c r="V14" s="32">
        <v>4.99</v>
      </c>
      <c r="W14" s="32">
        <v>4.4400000000000004</v>
      </c>
      <c r="X14" s="32">
        <v>4.9000000000000004</v>
      </c>
      <c r="Y14" s="32">
        <v>4.88</v>
      </c>
      <c r="Z14" s="32">
        <v>4.84</v>
      </c>
      <c r="AA14" s="32">
        <v>4.82</v>
      </c>
      <c r="AB14" s="32">
        <v>4.7300000000000004</v>
      </c>
      <c r="AC14" s="32">
        <v>4.91</v>
      </c>
      <c r="AD14" s="32">
        <v>4.8499999999999996</v>
      </c>
      <c r="AE14" s="32">
        <v>4.47</v>
      </c>
      <c r="AF14" s="32">
        <v>4.9800000000000004</v>
      </c>
      <c r="AG14" s="32">
        <v>4.8499999999999996</v>
      </c>
      <c r="AH14" s="32">
        <v>4.83</v>
      </c>
      <c r="AI14" s="32">
        <v>4.84</v>
      </c>
      <c r="AJ14" s="32">
        <v>4.7</v>
      </c>
      <c r="AK14" s="32">
        <v>4.8099999999999996</v>
      </c>
      <c r="AL14" s="32">
        <v>4.91</v>
      </c>
      <c r="AM14" s="32">
        <v>4.74</v>
      </c>
      <c r="AN14" s="33">
        <f t="shared" si="0"/>
        <v>4.7742424242424235</v>
      </c>
      <c r="AO14" s="34"/>
    </row>
    <row r="15" spans="1:41" ht="30" customHeight="1" x14ac:dyDescent="0.3">
      <c r="A15" s="31" t="s">
        <v>438</v>
      </c>
      <c r="B15" s="45" t="s">
        <v>442</v>
      </c>
      <c r="C15" s="25" t="s">
        <v>822</v>
      </c>
      <c r="D15" s="14" t="s">
        <v>823</v>
      </c>
      <c r="E15" s="25" t="s">
        <v>241</v>
      </c>
      <c r="F15" s="25">
        <v>5</v>
      </c>
      <c r="G15" s="32">
        <v>4.2300000000000004</v>
      </c>
      <c r="H15" s="32">
        <v>4.1100000000000003</v>
      </c>
      <c r="I15" s="32">
        <v>4.3899999999999997</v>
      </c>
      <c r="J15" s="32">
        <v>4.58</v>
      </c>
      <c r="K15" s="32">
        <v>3.86</v>
      </c>
      <c r="L15" s="32">
        <v>4.38</v>
      </c>
      <c r="M15" s="32">
        <v>4.29</v>
      </c>
      <c r="N15" s="32">
        <v>4.16</v>
      </c>
      <c r="O15" s="32">
        <v>3.87</v>
      </c>
      <c r="P15" s="32">
        <v>3.92</v>
      </c>
      <c r="Q15" s="32">
        <v>3.38</v>
      </c>
      <c r="R15" s="32">
        <v>3.81</v>
      </c>
      <c r="S15" s="32">
        <v>5</v>
      </c>
      <c r="T15" s="32">
        <v>4.1900000000000004</v>
      </c>
      <c r="U15" s="32">
        <v>4.1100000000000003</v>
      </c>
      <c r="V15" s="32">
        <v>4.74</v>
      </c>
      <c r="W15" s="32">
        <v>3.48</v>
      </c>
      <c r="X15" s="32">
        <v>4.38</v>
      </c>
      <c r="Y15" s="32">
        <v>4.6100000000000003</v>
      </c>
      <c r="Z15" s="32">
        <v>4.5</v>
      </c>
      <c r="AA15" s="32">
        <v>4.1100000000000003</v>
      </c>
      <c r="AB15" s="32">
        <v>3.99</v>
      </c>
      <c r="AC15" s="32">
        <v>5</v>
      </c>
      <c r="AD15" s="32">
        <v>4.21</v>
      </c>
      <c r="AE15" s="32">
        <v>3.85</v>
      </c>
      <c r="AF15" s="32">
        <v>4.43</v>
      </c>
      <c r="AG15" s="32">
        <v>4.55</v>
      </c>
      <c r="AH15" s="32">
        <v>4.2</v>
      </c>
      <c r="AI15" s="32">
        <v>4.43</v>
      </c>
      <c r="AJ15" s="32">
        <v>3.74</v>
      </c>
      <c r="AK15" s="32">
        <v>3.77</v>
      </c>
      <c r="AL15" s="32">
        <v>4.5</v>
      </c>
      <c r="AM15" s="32">
        <v>4.17</v>
      </c>
      <c r="AN15" s="33">
        <f t="shared" si="0"/>
        <v>4.2103030303030291</v>
      </c>
      <c r="AO15" s="34"/>
    </row>
    <row r="16" spans="1:41" ht="30" customHeight="1" x14ac:dyDescent="0.3">
      <c r="A16" s="31" t="s">
        <v>438</v>
      </c>
      <c r="B16" s="45" t="s">
        <v>442</v>
      </c>
      <c r="C16" s="25" t="s">
        <v>824</v>
      </c>
      <c r="D16" s="14" t="s">
        <v>825</v>
      </c>
      <c r="E16" s="25" t="s">
        <v>241</v>
      </c>
      <c r="F16" s="25">
        <v>10</v>
      </c>
      <c r="G16" s="32">
        <v>9.14</v>
      </c>
      <c r="H16" s="32">
        <v>8.86</v>
      </c>
      <c r="I16" s="32">
        <v>9.75</v>
      </c>
      <c r="J16" s="32">
        <v>9.7200000000000006</v>
      </c>
      <c r="K16" s="32">
        <v>8.57</v>
      </c>
      <c r="L16" s="32">
        <v>9.2100000000000009</v>
      </c>
      <c r="M16" s="32">
        <v>8.9700000000000006</v>
      </c>
      <c r="N16" s="32">
        <v>9.7100000000000009</v>
      </c>
      <c r="O16" s="32">
        <v>7.92</v>
      </c>
      <c r="P16" s="32">
        <v>8.01</v>
      </c>
      <c r="Q16" s="32">
        <v>8.07</v>
      </c>
      <c r="R16" s="32">
        <v>8.7100000000000009</v>
      </c>
      <c r="S16" s="32">
        <v>9.4499999999999993</v>
      </c>
      <c r="T16" s="32">
        <v>9.1199999999999992</v>
      </c>
      <c r="U16" s="32">
        <v>8.36</v>
      </c>
      <c r="V16" s="32">
        <v>9.75</v>
      </c>
      <c r="W16" s="32">
        <v>8.2899999999999991</v>
      </c>
      <c r="X16" s="32">
        <v>9.68</v>
      </c>
      <c r="Y16" s="32">
        <v>9.5299999999999994</v>
      </c>
      <c r="Z16" s="32">
        <v>9.41</v>
      </c>
      <c r="AA16" s="32">
        <v>8.6999999999999993</v>
      </c>
      <c r="AB16" s="32">
        <v>8.99</v>
      </c>
      <c r="AC16" s="32">
        <v>9.67</v>
      </c>
      <c r="AD16" s="32">
        <v>9.58</v>
      </c>
      <c r="AE16" s="32">
        <v>9.0399999999999991</v>
      </c>
      <c r="AF16" s="32">
        <v>8.66</v>
      </c>
      <c r="AG16" s="32">
        <v>8.7899999999999991</v>
      </c>
      <c r="AH16" s="32">
        <v>8.8800000000000008</v>
      </c>
      <c r="AI16" s="32">
        <v>9.34</v>
      </c>
      <c r="AJ16" s="32">
        <v>8.64</v>
      </c>
      <c r="AK16" s="32">
        <v>9.5399999999999991</v>
      </c>
      <c r="AL16" s="32">
        <v>9.59</v>
      </c>
      <c r="AM16" s="32">
        <v>8.9700000000000006</v>
      </c>
      <c r="AN16" s="33">
        <f t="shared" si="0"/>
        <v>9.0490909090909089</v>
      </c>
      <c r="AO16" s="34"/>
    </row>
    <row r="17" spans="1:41" ht="30" customHeight="1" x14ac:dyDescent="0.3">
      <c r="A17" s="31" t="s">
        <v>438</v>
      </c>
      <c r="B17" s="45" t="s">
        <v>442</v>
      </c>
      <c r="C17" s="25" t="s">
        <v>826</v>
      </c>
      <c r="D17" s="14" t="s">
        <v>827</v>
      </c>
      <c r="E17" s="25" t="s">
        <v>241</v>
      </c>
      <c r="F17" s="25">
        <v>10</v>
      </c>
      <c r="G17" s="32">
        <v>7.88</v>
      </c>
      <c r="H17" s="32">
        <v>6.73</v>
      </c>
      <c r="I17" s="32">
        <v>8</v>
      </c>
      <c r="J17" s="32">
        <v>8.49</v>
      </c>
      <c r="K17" s="32">
        <v>6.38</v>
      </c>
      <c r="L17" s="32">
        <v>7.75</v>
      </c>
      <c r="M17" s="32">
        <v>7.25</v>
      </c>
      <c r="N17" s="32">
        <v>7.19</v>
      </c>
      <c r="O17" s="32">
        <v>5.45</v>
      </c>
      <c r="P17" s="32">
        <v>5.68</v>
      </c>
      <c r="Q17" s="32">
        <v>3.93</v>
      </c>
      <c r="R17" s="32">
        <v>5.69</v>
      </c>
      <c r="S17" s="32">
        <v>9.33</v>
      </c>
      <c r="T17" s="32">
        <v>7.22</v>
      </c>
      <c r="U17" s="32">
        <v>6.5</v>
      </c>
      <c r="V17" s="32">
        <v>9.11</v>
      </c>
      <c r="W17" s="32">
        <v>4.95</v>
      </c>
      <c r="X17" s="32">
        <v>7.95</v>
      </c>
      <c r="Y17" s="32">
        <v>8.0399999999999991</v>
      </c>
      <c r="Z17" s="32">
        <v>8.11</v>
      </c>
      <c r="AA17" s="32">
        <v>6.45</v>
      </c>
      <c r="AB17" s="32">
        <v>6.67</v>
      </c>
      <c r="AC17" s="32">
        <v>9.65</v>
      </c>
      <c r="AD17" s="32">
        <v>7.5</v>
      </c>
      <c r="AE17" s="32">
        <v>6.74</v>
      </c>
      <c r="AF17" s="32">
        <v>6.39</v>
      </c>
      <c r="AG17" s="32">
        <v>7.78</v>
      </c>
      <c r="AH17" s="32">
        <v>6.69</v>
      </c>
      <c r="AI17" s="32">
        <v>8.02</v>
      </c>
      <c r="AJ17" s="32">
        <v>5.82</v>
      </c>
      <c r="AK17" s="32">
        <v>6.23</v>
      </c>
      <c r="AL17" s="32">
        <v>8.16</v>
      </c>
      <c r="AM17" s="32">
        <v>7.06</v>
      </c>
      <c r="AN17" s="33">
        <f t="shared" si="0"/>
        <v>7.1148484848484834</v>
      </c>
      <c r="AO17" s="34"/>
    </row>
    <row r="18" spans="1:41" ht="30" customHeight="1" x14ac:dyDescent="0.3">
      <c r="A18" s="31" t="s">
        <v>438</v>
      </c>
      <c r="B18" s="45" t="s">
        <v>442</v>
      </c>
      <c r="C18" s="25" t="s">
        <v>828</v>
      </c>
      <c r="D18" s="14" t="s">
        <v>829</v>
      </c>
      <c r="E18" s="25" t="s">
        <v>241</v>
      </c>
      <c r="F18" s="25">
        <v>10</v>
      </c>
      <c r="G18" s="32">
        <v>7.36</v>
      </c>
      <c r="H18" s="32">
        <v>6.37</v>
      </c>
      <c r="I18" s="32">
        <v>7.37</v>
      </c>
      <c r="J18" s="32">
        <v>8.08</v>
      </c>
      <c r="K18" s="32">
        <v>5.41</v>
      </c>
      <c r="L18" s="32">
        <v>7.74</v>
      </c>
      <c r="M18" s="32">
        <v>6.57</v>
      </c>
      <c r="N18" s="32">
        <v>5.66</v>
      </c>
      <c r="O18" s="32">
        <v>5.6</v>
      </c>
      <c r="P18" s="32">
        <v>6.01</v>
      </c>
      <c r="Q18" s="32">
        <v>4.8499999999999996</v>
      </c>
      <c r="R18" s="32">
        <v>5.43</v>
      </c>
      <c r="S18" s="32">
        <v>8.26</v>
      </c>
      <c r="T18" s="32">
        <v>6.85</v>
      </c>
      <c r="U18" s="32">
        <v>6.58</v>
      </c>
      <c r="V18" s="32">
        <v>8.6300000000000008</v>
      </c>
      <c r="W18" s="32">
        <v>4.83</v>
      </c>
      <c r="X18" s="32">
        <v>7.16</v>
      </c>
      <c r="Y18" s="32">
        <v>7.86</v>
      </c>
      <c r="Z18" s="32">
        <v>7.56</v>
      </c>
      <c r="AA18" s="32">
        <v>5.96</v>
      </c>
      <c r="AB18" s="32">
        <v>6.54</v>
      </c>
      <c r="AC18" s="32">
        <v>9.6199999999999992</v>
      </c>
      <c r="AD18" s="32">
        <v>7.24</v>
      </c>
      <c r="AE18" s="32">
        <v>5.53</v>
      </c>
      <c r="AF18" s="32">
        <v>6.94</v>
      </c>
      <c r="AG18" s="32">
        <v>7.26</v>
      </c>
      <c r="AH18" s="32">
        <v>6.65</v>
      </c>
      <c r="AI18" s="32">
        <v>8.0399999999999991</v>
      </c>
      <c r="AJ18" s="32">
        <v>5.24</v>
      </c>
      <c r="AK18" s="32">
        <v>7.21</v>
      </c>
      <c r="AL18" s="32">
        <v>7.91</v>
      </c>
      <c r="AM18" s="32">
        <v>7.35</v>
      </c>
      <c r="AN18" s="33">
        <f t="shared" si="0"/>
        <v>6.8384848484848479</v>
      </c>
      <c r="AO18" s="34"/>
    </row>
    <row r="19" spans="1:41" ht="30" customHeight="1" x14ac:dyDescent="0.3">
      <c r="A19" s="31" t="s">
        <v>438</v>
      </c>
      <c r="B19" s="45" t="s">
        <v>442</v>
      </c>
      <c r="C19" s="25" t="s">
        <v>830</v>
      </c>
      <c r="D19" s="14" t="s">
        <v>831</v>
      </c>
      <c r="E19" s="25" t="s">
        <v>241</v>
      </c>
      <c r="F19" s="25">
        <v>5</v>
      </c>
      <c r="G19" s="32">
        <v>4.53</v>
      </c>
      <c r="H19" s="32">
        <v>4.5199999999999996</v>
      </c>
      <c r="I19" s="32">
        <v>4.5599999999999996</v>
      </c>
      <c r="J19" s="32">
        <v>4.76</v>
      </c>
      <c r="K19" s="32">
        <v>4.72</v>
      </c>
      <c r="L19" s="32">
        <v>4.42</v>
      </c>
      <c r="M19" s="32">
        <v>4.5</v>
      </c>
      <c r="N19" s="32">
        <v>4.51</v>
      </c>
      <c r="O19" s="32">
        <v>4.51</v>
      </c>
      <c r="P19" s="32">
        <v>4.66</v>
      </c>
      <c r="Q19" s="32">
        <v>4.51</v>
      </c>
      <c r="R19" s="32">
        <v>4.42</v>
      </c>
      <c r="S19" s="32">
        <v>4.54</v>
      </c>
      <c r="T19" s="32">
        <v>4.51</v>
      </c>
      <c r="U19" s="32">
        <v>4.1900000000000004</v>
      </c>
      <c r="V19" s="32">
        <v>4.49</v>
      </c>
      <c r="W19" s="32">
        <v>4.41</v>
      </c>
      <c r="X19" s="32">
        <v>4.57</v>
      </c>
      <c r="Y19" s="32">
        <v>4.63</v>
      </c>
      <c r="Z19" s="32">
        <v>4.6500000000000004</v>
      </c>
      <c r="AA19" s="32">
        <v>4.1100000000000003</v>
      </c>
      <c r="AB19" s="32">
        <v>4.45</v>
      </c>
      <c r="AC19" s="32">
        <v>4.3600000000000003</v>
      </c>
      <c r="AD19" s="32">
        <v>4.62</v>
      </c>
      <c r="AE19" s="32">
        <v>4.54</v>
      </c>
      <c r="AF19" s="32">
        <v>4.45</v>
      </c>
      <c r="AG19" s="32">
        <v>4.38</v>
      </c>
      <c r="AH19" s="32">
        <v>4.7699999999999996</v>
      </c>
      <c r="AI19" s="32">
        <v>4.6399999999999997</v>
      </c>
      <c r="AJ19" s="32">
        <v>4.5999999999999996</v>
      </c>
      <c r="AK19" s="32">
        <v>4.3899999999999997</v>
      </c>
      <c r="AL19" s="32">
        <v>4.3899999999999997</v>
      </c>
      <c r="AM19" s="32">
        <v>4.46</v>
      </c>
      <c r="AN19" s="33">
        <f t="shared" si="0"/>
        <v>4.508181818181817</v>
      </c>
      <c r="AO19" s="34"/>
    </row>
    <row r="20" spans="1:41" ht="30" customHeight="1" x14ac:dyDescent="0.3">
      <c r="A20" s="31" t="s">
        <v>438</v>
      </c>
      <c r="B20" s="45" t="s">
        <v>443</v>
      </c>
      <c r="C20" s="25" t="s">
        <v>832</v>
      </c>
      <c r="D20" s="14" t="s">
        <v>833</v>
      </c>
      <c r="E20" s="25" t="s">
        <v>241</v>
      </c>
      <c r="F20" s="25">
        <v>5</v>
      </c>
      <c r="G20" s="32">
        <v>4.6100000000000003</v>
      </c>
      <c r="H20" s="32">
        <v>4.78</v>
      </c>
      <c r="I20" s="32">
        <v>4.8099999999999996</v>
      </c>
      <c r="J20" s="32">
        <v>4.87</v>
      </c>
      <c r="K20" s="32">
        <v>4.88</v>
      </c>
      <c r="L20" s="32">
        <v>4.7</v>
      </c>
      <c r="M20" s="32">
        <v>4.8</v>
      </c>
      <c r="N20" s="32">
        <v>4.76</v>
      </c>
      <c r="O20" s="32">
        <v>4.88</v>
      </c>
      <c r="P20" s="32">
        <v>4.88</v>
      </c>
      <c r="Q20" s="32">
        <v>4.9000000000000004</v>
      </c>
      <c r="R20" s="32">
        <v>4.83</v>
      </c>
      <c r="S20" s="32">
        <v>4.74</v>
      </c>
      <c r="T20" s="32">
        <v>4.82</v>
      </c>
      <c r="U20" s="32">
        <v>4.76</v>
      </c>
      <c r="V20" s="32">
        <v>4.7300000000000004</v>
      </c>
      <c r="W20" s="32">
        <v>4.74</v>
      </c>
      <c r="X20" s="32">
        <v>4.87</v>
      </c>
      <c r="Y20" s="32">
        <v>4.87</v>
      </c>
      <c r="Z20" s="32">
        <v>4.84</v>
      </c>
      <c r="AA20" s="32">
        <v>4.8099999999999996</v>
      </c>
      <c r="AB20" s="32">
        <v>4.8600000000000003</v>
      </c>
      <c r="AC20" s="32">
        <v>4.75</v>
      </c>
      <c r="AD20" s="32">
        <v>4.84</v>
      </c>
      <c r="AE20" s="32">
        <v>4.8499999999999996</v>
      </c>
      <c r="AF20" s="32">
        <v>4.71</v>
      </c>
      <c r="AG20" s="32">
        <v>4.5999999999999996</v>
      </c>
      <c r="AH20" s="32">
        <v>4.88</v>
      </c>
      <c r="AI20" s="32">
        <v>4.49</v>
      </c>
      <c r="AJ20" s="32">
        <v>4.87</v>
      </c>
      <c r="AK20" s="32">
        <v>4.87</v>
      </c>
      <c r="AL20" s="32">
        <v>4.6900000000000004</v>
      </c>
      <c r="AM20" s="32">
        <v>4.7</v>
      </c>
      <c r="AN20" s="33">
        <f t="shared" si="0"/>
        <v>4.787575757575758</v>
      </c>
      <c r="AO20" s="34"/>
    </row>
    <row r="21" spans="1:41" ht="30" customHeight="1" x14ac:dyDescent="0.3">
      <c r="A21" s="31" t="s">
        <v>438</v>
      </c>
      <c r="B21" s="45" t="s">
        <v>443</v>
      </c>
      <c r="C21" s="25" t="s">
        <v>834</v>
      </c>
      <c r="D21" s="14" t="s">
        <v>835</v>
      </c>
      <c r="E21" s="25" t="s">
        <v>241</v>
      </c>
      <c r="F21" s="25">
        <v>10</v>
      </c>
      <c r="G21" s="32">
        <v>6.45</v>
      </c>
      <c r="H21" s="32">
        <v>7.9</v>
      </c>
      <c r="I21" s="32">
        <v>8.65</v>
      </c>
      <c r="J21" s="32">
        <v>9.39</v>
      </c>
      <c r="K21" s="32">
        <v>7.11</v>
      </c>
      <c r="L21" s="32">
        <v>8.14</v>
      </c>
      <c r="M21" s="32">
        <v>7.6</v>
      </c>
      <c r="N21" s="32">
        <v>7.5</v>
      </c>
      <c r="O21" s="32">
        <v>7.21</v>
      </c>
      <c r="P21" s="32">
        <v>6.44</v>
      </c>
      <c r="Q21" s="32">
        <v>7.62</v>
      </c>
      <c r="R21" s="32">
        <v>8.39</v>
      </c>
      <c r="S21" s="32">
        <v>9.02</v>
      </c>
      <c r="T21" s="32">
        <v>8.48</v>
      </c>
      <c r="U21" s="32">
        <v>8.6199999999999992</v>
      </c>
      <c r="V21" s="32">
        <v>9.32</v>
      </c>
      <c r="W21" s="32">
        <v>7.67</v>
      </c>
      <c r="X21" s="32">
        <v>9.15</v>
      </c>
      <c r="Y21" s="32">
        <v>9.31</v>
      </c>
      <c r="Z21" s="32">
        <v>8.77</v>
      </c>
      <c r="AA21" s="32">
        <v>7.53</v>
      </c>
      <c r="AB21" s="32">
        <v>7.29</v>
      </c>
      <c r="AC21" s="32">
        <v>9.75</v>
      </c>
      <c r="AD21" s="32">
        <v>9.27</v>
      </c>
      <c r="AE21" s="32">
        <v>8.1999999999999993</v>
      </c>
      <c r="AF21" s="32">
        <v>8.82</v>
      </c>
      <c r="AG21" s="32">
        <v>8.56</v>
      </c>
      <c r="AH21" s="32">
        <v>8.99</v>
      </c>
      <c r="AI21" s="32">
        <v>9.0399999999999991</v>
      </c>
      <c r="AJ21" s="32">
        <v>7.7</v>
      </c>
      <c r="AK21" s="32">
        <v>9.17</v>
      </c>
      <c r="AL21" s="32">
        <v>8.67</v>
      </c>
      <c r="AM21" s="32">
        <v>9.1199999999999992</v>
      </c>
      <c r="AN21" s="33">
        <f t="shared" si="0"/>
        <v>8.32878787878788</v>
      </c>
      <c r="AO21" s="34"/>
    </row>
    <row r="22" spans="1:41" ht="30" customHeight="1" x14ac:dyDescent="0.3">
      <c r="A22" s="31" t="s">
        <v>438</v>
      </c>
      <c r="B22" s="45" t="s">
        <v>443</v>
      </c>
      <c r="C22" s="25" t="s">
        <v>836</v>
      </c>
      <c r="D22" s="14" t="s">
        <v>837</v>
      </c>
      <c r="E22" s="25" t="s">
        <v>241</v>
      </c>
      <c r="F22" s="25">
        <v>10</v>
      </c>
      <c r="G22" s="32">
        <v>4.8</v>
      </c>
      <c r="H22" s="32">
        <v>6.71</v>
      </c>
      <c r="I22" s="32">
        <v>5.81</v>
      </c>
      <c r="J22" s="32">
        <v>8.35</v>
      </c>
      <c r="K22" s="32">
        <v>4.66</v>
      </c>
      <c r="L22" s="32">
        <v>6.8</v>
      </c>
      <c r="M22" s="32">
        <v>5.88</v>
      </c>
      <c r="N22" s="32">
        <v>4.1399999999999997</v>
      </c>
      <c r="O22" s="32">
        <v>5.3</v>
      </c>
      <c r="P22" s="32">
        <v>3.65</v>
      </c>
      <c r="Q22" s="32">
        <v>5.86</v>
      </c>
      <c r="R22" s="32">
        <v>6.3</v>
      </c>
      <c r="S22" s="32">
        <v>6.32</v>
      </c>
      <c r="T22" s="32">
        <v>7.28</v>
      </c>
      <c r="U22" s="32">
        <v>7.17</v>
      </c>
      <c r="V22" s="32">
        <v>8.6199999999999992</v>
      </c>
      <c r="W22" s="32">
        <v>6.09</v>
      </c>
      <c r="X22" s="32">
        <v>6.72</v>
      </c>
      <c r="Y22" s="32">
        <v>7.26</v>
      </c>
      <c r="Z22" s="32">
        <v>7.11</v>
      </c>
      <c r="AA22" s="32">
        <v>6.66</v>
      </c>
      <c r="AB22" s="32">
        <v>5.31</v>
      </c>
      <c r="AC22" s="32">
        <v>8.74</v>
      </c>
      <c r="AD22" s="32">
        <v>6.4</v>
      </c>
      <c r="AE22" s="32">
        <v>6.33</v>
      </c>
      <c r="AF22" s="32">
        <v>8.24</v>
      </c>
      <c r="AG22" s="32">
        <v>7.38</v>
      </c>
      <c r="AH22" s="32">
        <v>7.44</v>
      </c>
      <c r="AI22" s="32">
        <v>5.51</v>
      </c>
      <c r="AJ22" s="32">
        <v>6.53</v>
      </c>
      <c r="AK22" s="32">
        <v>8.01</v>
      </c>
      <c r="AL22" s="32">
        <v>5.55</v>
      </c>
      <c r="AM22" s="32">
        <v>7.36</v>
      </c>
      <c r="AN22" s="33">
        <f t="shared" si="0"/>
        <v>6.4936363636363659</v>
      </c>
      <c r="AO22" s="34"/>
    </row>
    <row r="23" spans="1:41" ht="30" customHeight="1" x14ac:dyDescent="0.3">
      <c r="A23" s="31" t="s">
        <v>438</v>
      </c>
      <c r="B23" s="45" t="s">
        <v>443</v>
      </c>
      <c r="C23" s="25" t="s">
        <v>838</v>
      </c>
      <c r="D23" s="14" t="s">
        <v>839</v>
      </c>
      <c r="E23" s="25" t="s">
        <v>241</v>
      </c>
      <c r="F23" s="25">
        <v>10</v>
      </c>
      <c r="G23" s="32">
        <v>0.94</v>
      </c>
      <c r="H23" s="32">
        <v>0.63</v>
      </c>
      <c r="I23" s="32">
        <v>0.74</v>
      </c>
      <c r="J23" s="32">
        <v>0.49</v>
      </c>
      <c r="K23" s="32">
        <v>0.66</v>
      </c>
      <c r="L23" s="32">
        <v>0.18</v>
      </c>
      <c r="M23" s="32">
        <v>0.54</v>
      </c>
      <c r="N23" s="32">
        <v>1.07</v>
      </c>
      <c r="O23" s="32">
        <v>0.12</v>
      </c>
      <c r="P23" s="32">
        <v>0.41</v>
      </c>
      <c r="Q23" s="32">
        <v>0.27</v>
      </c>
      <c r="R23" s="32">
        <v>0.74</v>
      </c>
      <c r="S23" s="32">
        <v>0.28000000000000003</v>
      </c>
      <c r="T23" s="32">
        <v>1.22</v>
      </c>
      <c r="U23" s="32">
        <v>0.16</v>
      </c>
      <c r="V23" s="32">
        <v>1.27</v>
      </c>
      <c r="W23" s="32">
        <v>0.37</v>
      </c>
      <c r="X23" s="32">
        <v>0.27</v>
      </c>
      <c r="Y23" s="32">
        <v>0.38</v>
      </c>
      <c r="Z23" s="32">
        <v>0.47</v>
      </c>
      <c r="AA23" s="32">
        <v>0.28999999999999998</v>
      </c>
      <c r="AB23" s="32">
        <v>0.61</v>
      </c>
      <c r="AC23" s="32">
        <v>0.31</v>
      </c>
      <c r="AD23" s="32">
        <v>0.35</v>
      </c>
      <c r="AE23" s="32">
        <v>0.38</v>
      </c>
      <c r="AF23" s="32">
        <v>0.77</v>
      </c>
      <c r="AG23" s="32">
        <v>0.64</v>
      </c>
      <c r="AH23" s="32">
        <v>0.72</v>
      </c>
      <c r="AI23" s="32">
        <v>0.26</v>
      </c>
      <c r="AJ23" s="32">
        <v>0.5</v>
      </c>
      <c r="AK23" s="32">
        <v>0.12</v>
      </c>
      <c r="AL23" s="32">
        <v>0.15</v>
      </c>
      <c r="AM23" s="32">
        <v>0.27</v>
      </c>
      <c r="AN23" s="33">
        <f t="shared" si="0"/>
        <v>0.50242424242424233</v>
      </c>
      <c r="AO23" s="34"/>
    </row>
    <row r="24" spans="1:41" ht="30" customHeight="1" x14ac:dyDescent="0.3">
      <c r="A24" s="31" t="s">
        <v>438</v>
      </c>
      <c r="B24" s="45" t="s">
        <v>443</v>
      </c>
      <c r="C24" s="25" t="s">
        <v>840</v>
      </c>
      <c r="D24" s="14" t="s">
        <v>841</v>
      </c>
      <c r="E24" s="25" t="s">
        <v>398</v>
      </c>
      <c r="F24" s="25">
        <v>10</v>
      </c>
      <c r="G24" s="32">
        <v>9.99</v>
      </c>
      <c r="H24" s="32">
        <v>10</v>
      </c>
      <c r="I24" s="32">
        <v>10</v>
      </c>
      <c r="J24" s="32">
        <v>10</v>
      </c>
      <c r="K24" s="32">
        <v>10</v>
      </c>
      <c r="L24" s="32">
        <v>9.99</v>
      </c>
      <c r="M24" s="32">
        <v>10</v>
      </c>
      <c r="N24" s="32">
        <v>10</v>
      </c>
      <c r="O24" s="32">
        <v>9.99</v>
      </c>
      <c r="P24" s="32">
        <v>9.99</v>
      </c>
      <c r="Q24" s="32">
        <v>9.98</v>
      </c>
      <c r="R24" s="32">
        <v>10</v>
      </c>
      <c r="S24" s="32">
        <v>10</v>
      </c>
      <c r="T24" s="32">
        <v>10</v>
      </c>
      <c r="U24" s="32">
        <v>10</v>
      </c>
      <c r="V24" s="32">
        <v>10</v>
      </c>
      <c r="W24" s="32">
        <v>10</v>
      </c>
      <c r="X24" s="32">
        <v>9.69</v>
      </c>
      <c r="Y24" s="32">
        <v>10</v>
      </c>
      <c r="Z24" s="32">
        <v>10</v>
      </c>
      <c r="AA24" s="32">
        <v>10</v>
      </c>
      <c r="AB24" s="32">
        <v>10</v>
      </c>
      <c r="AC24" s="32">
        <v>10</v>
      </c>
      <c r="AD24" s="32">
        <v>9.99</v>
      </c>
      <c r="AE24" s="32">
        <v>10</v>
      </c>
      <c r="AF24" s="32">
        <v>10</v>
      </c>
      <c r="AG24" s="32">
        <v>9.99</v>
      </c>
      <c r="AH24" s="32">
        <v>9.98</v>
      </c>
      <c r="AI24" s="32">
        <v>9.99</v>
      </c>
      <c r="AJ24" s="32">
        <v>9.99</v>
      </c>
      <c r="AK24" s="32">
        <v>9.99</v>
      </c>
      <c r="AL24" s="32">
        <v>9.99</v>
      </c>
      <c r="AM24" s="32">
        <v>9.8800000000000008</v>
      </c>
      <c r="AN24" s="33">
        <f t="shared" si="0"/>
        <v>9.9827272727272742</v>
      </c>
      <c r="AO24" s="34"/>
    </row>
    <row r="25" spans="1:41" ht="30" customHeight="1" x14ac:dyDescent="0.3">
      <c r="A25" s="31" t="s">
        <v>444</v>
      </c>
      <c r="B25" s="45" t="s">
        <v>445</v>
      </c>
      <c r="C25" s="25" t="s">
        <v>842</v>
      </c>
      <c r="D25" s="14" t="s">
        <v>843</v>
      </c>
      <c r="E25" s="25" t="s">
        <v>241</v>
      </c>
      <c r="F25" s="25">
        <v>10</v>
      </c>
      <c r="G25" s="32">
        <v>9.0500000000000007</v>
      </c>
      <c r="H25" s="32">
        <v>9.6300000000000008</v>
      </c>
      <c r="I25" s="32">
        <v>9.61</v>
      </c>
      <c r="J25" s="32">
        <v>9.68</v>
      </c>
      <c r="K25" s="32">
        <v>9.6999999999999993</v>
      </c>
      <c r="L25" s="32">
        <v>9.57</v>
      </c>
      <c r="M25" s="32">
        <v>9.5</v>
      </c>
      <c r="N25" s="32">
        <v>9.67</v>
      </c>
      <c r="O25" s="32">
        <v>9.64</v>
      </c>
      <c r="P25" s="32">
        <v>9.44</v>
      </c>
      <c r="Q25" s="32">
        <v>9.61</v>
      </c>
      <c r="R25" s="32">
        <v>9.5299999999999994</v>
      </c>
      <c r="S25" s="32">
        <v>9.4600000000000009</v>
      </c>
      <c r="T25" s="32">
        <v>9.6</v>
      </c>
      <c r="U25" s="32">
        <v>9.16</v>
      </c>
      <c r="V25" s="32">
        <v>9.48</v>
      </c>
      <c r="W25" s="32">
        <v>9.61</v>
      </c>
      <c r="X25" s="32">
        <v>9.77</v>
      </c>
      <c r="Y25" s="32">
        <v>9.7100000000000009</v>
      </c>
      <c r="Z25" s="32">
        <v>9.74</v>
      </c>
      <c r="AA25" s="32">
        <v>9.76</v>
      </c>
      <c r="AB25" s="32">
        <v>9.35</v>
      </c>
      <c r="AC25" s="32">
        <v>9.6300000000000008</v>
      </c>
      <c r="AD25" s="32">
        <v>9.76</v>
      </c>
      <c r="AE25" s="32">
        <v>9.73</v>
      </c>
      <c r="AF25" s="32">
        <v>9.68</v>
      </c>
      <c r="AG25" s="32">
        <v>9.32</v>
      </c>
      <c r="AH25" s="32">
        <v>9.5500000000000007</v>
      </c>
      <c r="AI25" s="32">
        <v>9.41</v>
      </c>
      <c r="AJ25" s="32">
        <v>9.68</v>
      </c>
      <c r="AK25" s="32">
        <v>9.32</v>
      </c>
      <c r="AL25" s="32">
        <v>9.5500000000000007</v>
      </c>
      <c r="AM25" s="32">
        <v>9.35</v>
      </c>
      <c r="AN25" s="33">
        <f t="shared" si="0"/>
        <v>9.5530303030303045</v>
      </c>
      <c r="AO25" s="34"/>
    </row>
    <row r="26" spans="1:41" ht="30" customHeight="1" x14ac:dyDescent="0.3">
      <c r="A26" s="31" t="s">
        <v>444</v>
      </c>
      <c r="B26" s="45" t="s">
        <v>445</v>
      </c>
      <c r="C26" s="25" t="s">
        <v>844</v>
      </c>
      <c r="D26" s="14" t="s">
        <v>845</v>
      </c>
      <c r="E26" s="25" t="s">
        <v>241</v>
      </c>
      <c r="F26" s="25">
        <v>5</v>
      </c>
      <c r="G26" s="32">
        <v>2.0299999999999998</v>
      </c>
      <c r="H26" s="32">
        <v>3.56</v>
      </c>
      <c r="I26" s="32">
        <v>3.86</v>
      </c>
      <c r="J26" s="32">
        <v>4.1399999999999997</v>
      </c>
      <c r="K26" s="32">
        <v>3.87</v>
      </c>
      <c r="L26" s="32">
        <v>3.58</v>
      </c>
      <c r="M26" s="32">
        <v>3.57</v>
      </c>
      <c r="N26" s="32">
        <v>3.51</v>
      </c>
      <c r="O26" s="32">
        <v>4</v>
      </c>
      <c r="P26" s="32">
        <v>3.88</v>
      </c>
      <c r="Q26" s="32">
        <v>4.3099999999999996</v>
      </c>
      <c r="R26" s="32">
        <v>3.7</v>
      </c>
      <c r="S26" s="32">
        <v>2.92</v>
      </c>
      <c r="T26" s="32">
        <v>3.26</v>
      </c>
      <c r="U26" s="32">
        <v>3</v>
      </c>
      <c r="V26" s="32">
        <v>3.09</v>
      </c>
      <c r="W26" s="32">
        <v>3.7</v>
      </c>
      <c r="X26" s="32">
        <v>3.88</v>
      </c>
      <c r="Y26" s="32">
        <v>4.16</v>
      </c>
      <c r="Z26" s="32">
        <v>3.79</v>
      </c>
      <c r="AA26" s="32">
        <v>3.54</v>
      </c>
      <c r="AB26" s="32">
        <v>4.41</v>
      </c>
      <c r="AC26" s="32">
        <v>3.76</v>
      </c>
      <c r="AD26" s="32">
        <v>4.13</v>
      </c>
      <c r="AE26" s="32">
        <v>4.07</v>
      </c>
      <c r="AF26" s="32">
        <v>3.59</v>
      </c>
      <c r="AG26" s="32">
        <v>2.2000000000000002</v>
      </c>
      <c r="AH26" s="32">
        <v>3.97</v>
      </c>
      <c r="AI26" s="32">
        <v>2.2599999999999998</v>
      </c>
      <c r="AJ26" s="32">
        <v>3.62</v>
      </c>
      <c r="AK26" s="32">
        <v>4.37</v>
      </c>
      <c r="AL26" s="32">
        <v>3.23</v>
      </c>
      <c r="AM26" s="32">
        <v>3.63</v>
      </c>
      <c r="AN26" s="33">
        <f t="shared" si="0"/>
        <v>3.5936363636363651</v>
      </c>
      <c r="AO26" s="34"/>
    </row>
    <row r="27" spans="1:41" ht="30" customHeight="1" x14ac:dyDescent="0.3">
      <c r="A27" s="31" t="s">
        <v>444</v>
      </c>
      <c r="B27" s="45" t="s">
        <v>445</v>
      </c>
      <c r="C27" s="25" t="s">
        <v>846</v>
      </c>
      <c r="D27" s="14" t="s">
        <v>847</v>
      </c>
      <c r="E27" s="25" t="s">
        <v>241</v>
      </c>
      <c r="F27" s="25">
        <v>10</v>
      </c>
      <c r="G27" s="32">
        <v>5.78</v>
      </c>
      <c r="H27" s="32">
        <v>7.47</v>
      </c>
      <c r="I27" s="32">
        <v>7.64</v>
      </c>
      <c r="J27" s="32">
        <v>7.02</v>
      </c>
      <c r="K27" s="32">
        <v>8.2200000000000006</v>
      </c>
      <c r="L27" s="32">
        <v>7.2</v>
      </c>
      <c r="M27" s="32">
        <v>6.93</v>
      </c>
      <c r="N27" s="32">
        <v>8.1</v>
      </c>
      <c r="O27" s="32">
        <v>7.83</v>
      </c>
      <c r="P27" s="32">
        <v>6.43</v>
      </c>
      <c r="Q27" s="32">
        <v>6.82</v>
      </c>
      <c r="R27" s="32">
        <v>7.59</v>
      </c>
      <c r="S27" s="32">
        <v>6.49</v>
      </c>
      <c r="T27" s="32">
        <v>7.92</v>
      </c>
      <c r="U27" s="32">
        <v>5.79</v>
      </c>
      <c r="V27" s="32">
        <v>7</v>
      </c>
      <c r="W27" s="32">
        <v>7.08</v>
      </c>
      <c r="X27" s="32">
        <v>7.84</v>
      </c>
      <c r="Y27" s="32">
        <v>7.67</v>
      </c>
      <c r="Z27" s="32">
        <v>7.46</v>
      </c>
      <c r="AA27" s="32">
        <v>7.59</v>
      </c>
      <c r="AB27" s="32">
        <v>8.8800000000000008</v>
      </c>
      <c r="AC27" s="32">
        <v>8.4600000000000009</v>
      </c>
      <c r="AD27" s="32">
        <v>7.41</v>
      </c>
      <c r="AE27" s="32">
        <v>7.67</v>
      </c>
      <c r="AF27" s="32">
        <v>7.28</v>
      </c>
      <c r="AG27" s="32">
        <v>7.37</v>
      </c>
      <c r="AH27" s="32">
        <v>7.61</v>
      </c>
      <c r="AI27" s="32">
        <v>6.05</v>
      </c>
      <c r="AJ27" s="32">
        <v>8.1</v>
      </c>
      <c r="AK27" s="32">
        <v>7.89</v>
      </c>
      <c r="AL27" s="32">
        <v>7.5</v>
      </c>
      <c r="AM27" s="32">
        <v>7.39</v>
      </c>
      <c r="AN27" s="33">
        <f t="shared" si="0"/>
        <v>7.378181818181818</v>
      </c>
      <c r="AO27" s="34"/>
    </row>
    <row r="28" spans="1:41" ht="30" customHeight="1" x14ac:dyDescent="0.3">
      <c r="A28" s="31" t="s">
        <v>444</v>
      </c>
      <c r="B28" s="45" t="s">
        <v>445</v>
      </c>
      <c r="C28" s="25" t="s">
        <v>848</v>
      </c>
      <c r="D28" s="14" t="s">
        <v>849</v>
      </c>
      <c r="E28" s="25" t="s">
        <v>241</v>
      </c>
      <c r="F28" s="25">
        <v>10</v>
      </c>
      <c r="G28" s="32">
        <v>2.57</v>
      </c>
      <c r="H28" s="32">
        <v>5.22</v>
      </c>
      <c r="I28" s="32">
        <v>5.28</v>
      </c>
      <c r="J28" s="32">
        <v>5.15</v>
      </c>
      <c r="K28" s="32">
        <v>4.74</v>
      </c>
      <c r="L28" s="32">
        <v>4.62</v>
      </c>
      <c r="M28" s="32">
        <v>5.07</v>
      </c>
      <c r="N28" s="32">
        <v>5.46</v>
      </c>
      <c r="O28" s="32">
        <v>4.5599999999999996</v>
      </c>
      <c r="P28" s="32">
        <v>4.33</v>
      </c>
      <c r="Q28" s="32">
        <v>4.79</v>
      </c>
      <c r="R28" s="32">
        <v>4.83</v>
      </c>
      <c r="S28" s="32">
        <v>3.84</v>
      </c>
      <c r="T28" s="32">
        <v>4.7699999999999996</v>
      </c>
      <c r="U28" s="32">
        <v>3.35</v>
      </c>
      <c r="V28" s="32">
        <v>4.07</v>
      </c>
      <c r="W28" s="32">
        <v>4.55</v>
      </c>
      <c r="X28" s="32">
        <v>5.34</v>
      </c>
      <c r="Y28" s="32">
        <v>5.24</v>
      </c>
      <c r="Z28" s="32">
        <v>5.17</v>
      </c>
      <c r="AA28" s="32">
        <v>4.87</v>
      </c>
      <c r="AB28" s="32">
        <v>5.72</v>
      </c>
      <c r="AC28" s="32">
        <v>5.15</v>
      </c>
      <c r="AD28" s="32">
        <v>5.31</v>
      </c>
      <c r="AE28" s="32">
        <v>5.47</v>
      </c>
      <c r="AF28" s="32">
        <v>5.18</v>
      </c>
      <c r="AG28" s="32">
        <v>3.01</v>
      </c>
      <c r="AH28" s="32">
        <v>5.33</v>
      </c>
      <c r="AI28" s="32">
        <v>2.72</v>
      </c>
      <c r="AJ28" s="32">
        <v>5.14</v>
      </c>
      <c r="AK28" s="32">
        <v>5.51</v>
      </c>
      <c r="AL28" s="32">
        <v>3.92</v>
      </c>
      <c r="AM28" s="32">
        <v>4.91</v>
      </c>
      <c r="AN28" s="33">
        <f t="shared" si="0"/>
        <v>4.7027272727272722</v>
      </c>
      <c r="AO28" s="34"/>
    </row>
    <row r="29" spans="1:41" ht="30" customHeight="1" x14ac:dyDescent="0.3">
      <c r="A29" s="31" t="s">
        <v>444</v>
      </c>
      <c r="B29" s="45" t="s">
        <v>445</v>
      </c>
      <c r="C29" s="25" t="s">
        <v>850</v>
      </c>
      <c r="D29" s="14" t="s">
        <v>851</v>
      </c>
      <c r="E29" s="25" t="s">
        <v>241</v>
      </c>
      <c r="F29" s="25">
        <v>5</v>
      </c>
      <c r="G29" s="32">
        <v>3.14</v>
      </c>
      <c r="H29" s="32">
        <v>4.74</v>
      </c>
      <c r="I29" s="32">
        <v>4.3099999999999996</v>
      </c>
      <c r="J29" s="32">
        <v>4.72</v>
      </c>
      <c r="K29" s="32">
        <v>4.84</v>
      </c>
      <c r="L29" s="32">
        <v>3.54</v>
      </c>
      <c r="M29" s="32">
        <v>4.62</v>
      </c>
      <c r="N29" s="32">
        <v>4.8499999999999996</v>
      </c>
      <c r="O29" s="32">
        <v>4.83</v>
      </c>
      <c r="P29" s="32">
        <v>4.82</v>
      </c>
      <c r="Q29" s="32">
        <v>4.8499999999999996</v>
      </c>
      <c r="R29" s="32">
        <v>4.62</v>
      </c>
      <c r="S29" s="32">
        <v>3.69</v>
      </c>
      <c r="T29" s="32">
        <v>4.42</v>
      </c>
      <c r="U29" s="32">
        <v>4.04</v>
      </c>
      <c r="V29" s="32">
        <v>4.53</v>
      </c>
      <c r="W29" s="32">
        <v>4.04</v>
      </c>
      <c r="X29" s="32">
        <v>4.5999999999999996</v>
      </c>
      <c r="Y29" s="32">
        <v>4.9000000000000004</v>
      </c>
      <c r="Z29" s="32">
        <v>4.53</v>
      </c>
      <c r="AA29" s="32">
        <v>4.5999999999999996</v>
      </c>
      <c r="AB29" s="32">
        <v>4.7300000000000004</v>
      </c>
      <c r="AC29" s="32">
        <v>3.86</v>
      </c>
      <c r="AD29" s="32">
        <v>4.5599999999999996</v>
      </c>
      <c r="AE29" s="32">
        <v>4.8</v>
      </c>
      <c r="AF29" s="32">
        <v>4.1100000000000003</v>
      </c>
      <c r="AG29" s="32">
        <v>3.99</v>
      </c>
      <c r="AH29" s="32">
        <v>4.7</v>
      </c>
      <c r="AI29" s="32">
        <v>2.86</v>
      </c>
      <c r="AJ29" s="32">
        <v>4.75</v>
      </c>
      <c r="AK29" s="32">
        <v>4.53</v>
      </c>
      <c r="AL29" s="32">
        <v>3.12</v>
      </c>
      <c r="AM29" s="32">
        <v>3.17</v>
      </c>
      <c r="AN29" s="33">
        <f t="shared" si="0"/>
        <v>4.3154545454545454</v>
      </c>
      <c r="AO29" s="34"/>
    </row>
    <row r="30" spans="1:41" ht="30" customHeight="1" x14ac:dyDescent="0.3">
      <c r="A30" s="31" t="s">
        <v>444</v>
      </c>
      <c r="B30" s="45" t="s">
        <v>445</v>
      </c>
      <c r="C30" s="25" t="s">
        <v>852</v>
      </c>
      <c r="D30" s="14" t="s">
        <v>853</v>
      </c>
      <c r="E30" s="25" t="s">
        <v>241</v>
      </c>
      <c r="F30" s="25">
        <v>5</v>
      </c>
      <c r="G30" s="32">
        <v>3.44</v>
      </c>
      <c r="H30" s="32">
        <v>4.1900000000000004</v>
      </c>
      <c r="I30" s="32">
        <v>4.1100000000000003</v>
      </c>
      <c r="J30" s="32">
        <v>4.0999999999999996</v>
      </c>
      <c r="K30" s="32">
        <v>4.17</v>
      </c>
      <c r="L30" s="32">
        <v>4.2300000000000004</v>
      </c>
      <c r="M30" s="32">
        <v>4.22</v>
      </c>
      <c r="N30" s="32">
        <v>4.24</v>
      </c>
      <c r="O30" s="32">
        <v>4.1399999999999997</v>
      </c>
      <c r="P30" s="32">
        <v>4.03</v>
      </c>
      <c r="Q30" s="32">
        <v>4.3899999999999997</v>
      </c>
      <c r="R30" s="32">
        <v>4.21</v>
      </c>
      <c r="S30" s="32">
        <v>3.72</v>
      </c>
      <c r="T30" s="32">
        <v>4.08</v>
      </c>
      <c r="U30" s="32">
        <v>3.91</v>
      </c>
      <c r="V30" s="32">
        <v>3.86</v>
      </c>
      <c r="W30" s="32">
        <v>4.13</v>
      </c>
      <c r="X30" s="32">
        <v>3.82</v>
      </c>
      <c r="Y30" s="32">
        <v>4.2699999999999996</v>
      </c>
      <c r="Z30" s="32">
        <v>3.81</v>
      </c>
      <c r="AA30" s="32">
        <v>4.13</v>
      </c>
      <c r="AB30" s="32">
        <v>4.3899999999999997</v>
      </c>
      <c r="AC30" s="32">
        <v>4.1399999999999997</v>
      </c>
      <c r="AD30" s="32">
        <v>4.18</v>
      </c>
      <c r="AE30" s="32">
        <v>3.93</v>
      </c>
      <c r="AF30" s="32">
        <v>4.1100000000000003</v>
      </c>
      <c r="AG30" s="32">
        <v>4.09</v>
      </c>
      <c r="AH30" s="32">
        <v>4.09</v>
      </c>
      <c r="AI30" s="32">
        <v>4.05</v>
      </c>
      <c r="AJ30" s="32">
        <v>4.18</v>
      </c>
      <c r="AK30" s="32">
        <v>4.37</v>
      </c>
      <c r="AL30" s="32">
        <v>3.95</v>
      </c>
      <c r="AM30" s="32">
        <v>4.2300000000000004</v>
      </c>
      <c r="AN30" s="33">
        <f t="shared" si="0"/>
        <v>4.0881818181818179</v>
      </c>
      <c r="AO30" s="34"/>
    </row>
    <row r="31" spans="1:41" ht="30" customHeight="1" x14ac:dyDescent="0.3">
      <c r="A31" s="31" t="s">
        <v>444</v>
      </c>
      <c r="B31" s="45" t="s">
        <v>445</v>
      </c>
      <c r="C31" s="25" t="s">
        <v>854</v>
      </c>
      <c r="D31" s="14" t="s">
        <v>855</v>
      </c>
      <c r="E31" s="25" t="s">
        <v>241</v>
      </c>
      <c r="F31" s="25">
        <v>5</v>
      </c>
      <c r="G31" s="32">
        <v>3.74</v>
      </c>
      <c r="H31" s="32">
        <v>4.37</v>
      </c>
      <c r="I31" s="32">
        <v>4.42</v>
      </c>
      <c r="J31" s="32">
        <v>4.42</v>
      </c>
      <c r="K31" s="32">
        <v>4.54</v>
      </c>
      <c r="L31" s="32">
        <v>4.4800000000000004</v>
      </c>
      <c r="M31" s="32">
        <v>4.4400000000000004</v>
      </c>
      <c r="N31" s="32">
        <v>4.41</v>
      </c>
      <c r="O31" s="32">
        <v>4.28</v>
      </c>
      <c r="P31" s="32">
        <v>4.26</v>
      </c>
      <c r="Q31" s="32">
        <v>4.5199999999999996</v>
      </c>
      <c r="R31" s="32">
        <v>4.54</v>
      </c>
      <c r="S31" s="32">
        <v>4.05</v>
      </c>
      <c r="T31" s="32">
        <v>4.34</v>
      </c>
      <c r="U31" s="32">
        <v>4.32</v>
      </c>
      <c r="V31" s="32">
        <v>4.1500000000000004</v>
      </c>
      <c r="W31" s="32">
        <v>4.3099999999999996</v>
      </c>
      <c r="X31" s="32">
        <v>4.2</v>
      </c>
      <c r="Y31" s="32">
        <v>4.5199999999999996</v>
      </c>
      <c r="Z31" s="32">
        <v>4.25</v>
      </c>
      <c r="AA31" s="32">
        <v>4.42</v>
      </c>
      <c r="AB31" s="32">
        <v>4.58</v>
      </c>
      <c r="AC31" s="32">
        <v>4.3600000000000003</v>
      </c>
      <c r="AD31" s="32">
        <v>4.4800000000000004</v>
      </c>
      <c r="AE31" s="32">
        <v>4.3499999999999996</v>
      </c>
      <c r="AF31" s="32">
        <v>4.3600000000000003</v>
      </c>
      <c r="AG31" s="32">
        <v>4.3099999999999996</v>
      </c>
      <c r="AH31" s="32">
        <v>4.4800000000000004</v>
      </c>
      <c r="AI31" s="32">
        <v>4.43</v>
      </c>
      <c r="AJ31" s="32">
        <v>4.3600000000000003</v>
      </c>
      <c r="AK31" s="32">
        <v>4.5</v>
      </c>
      <c r="AL31" s="32">
        <v>4.3099999999999996</v>
      </c>
      <c r="AM31" s="32">
        <v>4.4400000000000004</v>
      </c>
      <c r="AN31" s="33">
        <f t="shared" si="0"/>
        <v>4.3618181818181823</v>
      </c>
      <c r="AO31" s="34"/>
    </row>
    <row r="32" spans="1:41" ht="30" customHeight="1" x14ac:dyDescent="0.3">
      <c r="A32" s="31" t="s">
        <v>444</v>
      </c>
      <c r="B32" s="45" t="s">
        <v>445</v>
      </c>
      <c r="C32" s="25" t="s">
        <v>856</v>
      </c>
      <c r="D32" s="14" t="s">
        <v>857</v>
      </c>
      <c r="E32" s="25" t="s">
        <v>241</v>
      </c>
      <c r="F32" s="25">
        <v>10</v>
      </c>
      <c r="G32" s="32">
        <v>6.41</v>
      </c>
      <c r="H32" s="32">
        <v>7.47</v>
      </c>
      <c r="I32" s="32">
        <v>7.63</v>
      </c>
      <c r="J32" s="32">
        <v>8.73</v>
      </c>
      <c r="K32" s="32">
        <v>7.62</v>
      </c>
      <c r="L32" s="32">
        <v>6.65</v>
      </c>
      <c r="M32" s="32">
        <v>6.62</v>
      </c>
      <c r="N32" s="32">
        <v>7.64</v>
      </c>
      <c r="O32" s="32">
        <v>7.2</v>
      </c>
      <c r="P32" s="32">
        <v>6.77</v>
      </c>
      <c r="Q32" s="32">
        <v>7.4</v>
      </c>
      <c r="R32" s="32">
        <v>6.75</v>
      </c>
      <c r="S32" s="32">
        <v>6.61</v>
      </c>
      <c r="T32" s="32">
        <v>7.15</v>
      </c>
      <c r="U32" s="32">
        <v>7.26</v>
      </c>
      <c r="V32" s="32">
        <v>6.18</v>
      </c>
      <c r="W32" s="32">
        <v>6.54</v>
      </c>
      <c r="X32" s="32">
        <v>7.4</v>
      </c>
      <c r="Y32" s="32">
        <v>7.63</v>
      </c>
      <c r="Z32" s="32">
        <v>7.5</v>
      </c>
      <c r="AA32" s="32">
        <v>8.35</v>
      </c>
      <c r="AB32" s="32">
        <v>8.91</v>
      </c>
      <c r="AC32" s="32">
        <v>7.9</v>
      </c>
      <c r="AD32" s="32">
        <v>7.76</v>
      </c>
      <c r="AE32" s="32">
        <v>7.66</v>
      </c>
      <c r="AF32" s="32">
        <v>7.31</v>
      </c>
      <c r="AG32" s="32">
        <v>6.4</v>
      </c>
      <c r="AH32" s="32">
        <v>7.81</v>
      </c>
      <c r="AI32" s="32">
        <v>8.18</v>
      </c>
      <c r="AJ32" s="32">
        <v>7.37</v>
      </c>
      <c r="AK32" s="32">
        <v>7.63</v>
      </c>
      <c r="AL32" s="32">
        <v>7.96</v>
      </c>
      <c r="AM32" s="32">
        <v>7.52</v>
      </c>
      <c r="AN32" s="33">
        <f t="shared" si="0"/>
        <v>7.3915151515151516</v>
      </c>
      <c r="AO32" s="34"/>
    </row>
    <row r="33" spans="1:41" ht="30" customHeight="1" x14ac:dyDescent="0.3">
      <c r="A33" s="31" t="s">
        <v>444</v>
      </c>
      <c r="B33" s="45" t="s">
        <v>446</v>
      </c>
      <c r="C33" s="25" t="s">
        <v>858</v>
      </c>
      <c r="D33" s="14" t="s">
        <v>859</v>
      </c>
      <c r="E33" s="25" t="s">
        <v>241</v>
      </c>
      <c r="F33" s="25">
        <v>2</v>
      </c>
      <c r="G33" s="32">
        <v>1.99</v>
      </c>
      <c r="H33" s="32">
        <v>1.95</v>
      </c>
      <c r="I33" s="32">
        <v>1.98</v>
      </c>
      <c r="J33" s="32">
        <v>1.94</v>
      </c>
      <c r="K33" s="32">
        <v>1.94</v>
      </c>
      <c r="L33" s="32">
        <v>1.99</v>
      </c>
      <c r="M33" s="32">
        <v>1.99</v>
      </c>
      <c r="N33" s="32">
        <v>1.96</v>
      </c>
      <c r="O33" s="32">
        <v>1.91</v>
      </c>
      <c r="P33" s="32">
        <v>1.9</v>
      </c>
      <c r="Q33" s="32">
        <v>1.97</v>
      </c>
      <c r="R33" s="32">
        <v>1.94</v>
      </c>
      <c r="S33" s="32">
        <v>1.98</v>
      </c>
      <c r="T33" s="32">
        <v>1.97</v>
      </c>
      <c r="U33" s="32">
        <v>1.97</v>
      </c>
      <c r="V33" s="32">
        <v>1.96</v>
      </c>
      <c r="W33" s="32">
        <v>1.92</v>
      </c>
      <c r="X33" s="32">
        <v>1.93</v>
      </c>
      <c r="Y33" s="32">
        <v>1.83</v>
      </c>
      <c r="Z33" s="32">
        <v>1.96</v>
      </c>
      <c r="AA33" s="32">
        <v>1.89</v>
      </c>
      <c r="AB33" s="32">
        <v>1.98</v>
      </c>
      <c r="AC33" s="32">
        <v>1.97</v>
      </c>
      <c r="AD33" s="32">
        <v>1.92</v>
      </c>
      <c r="AE33" s="32">
        <v>1.96</v>
      </c>
      <c r="AF33" s="32">
        <v>1.97</v>
      </c>
      <c r="AG33" s="32">
        <v>1.97</v>
      </c>
      <c r="AH33" s="32">
        <v>1.94</v>
      </c>
      <c r="AI33" s="32">
        <v>1.97</v>
      </c>
      <c r="AJ33" s="32">
        <v>1.95</v>
      </c>
      <c r="AK33" s="32">
        <v>1.97</v>
      </c>
      <c r="AL33" s="32">
        <v>1.95</v>
      </c>
      <c r="AM33" s="32">
        <v>1.95</v>
      </c>
      <c r="AN33" s="33">
        <f t="shared" si="0"/>
        <v>1.9506060606060602</v>
      </c>
      <c r="AO33" s="34"/>
    </row>
    <row r="34" spans="1:41" ht="30" customHeight="1" x14ac:dyDescent="0.3">
      <c r="A34" s="31" t="s">
        <v>444</v>
      </c>
      <c r="B34" s="45" t="s">
        <v>446</v>
      </c>
      <c r="C34" s="25" t="s">
        <v>860</v>
      </c>
      <c r="D34" s="14" t="s">
        <v>861</v>
      </c>
      <c r="E34" s="25" t="s">
        <v>241</v>
      </c>
      <c r="F34" s="25">
        <v>2</v>
      </c>
      <c r="G34" s="32">
        <v>1.99</v>
      </c>
      <c r="H34" s="32">
        <v>1.94</v>
      </c>
      <c r="I34" s="32">
        <v>1.99</v>
      </c>
      <c r="J34" s="32">
        <v>1.92</v>
      </c>
      <c r="K34" s="32">
        <v>1.92</v>
      </c>
      <c r="L34" s="32">
        <v>1.98</v>
      </c>
      <c r="M34" s="32">
        <v>1.99</v>
      </c>
      <c r="N34" s="32">
        <v>1.94</v>
      </c>
      <c r="O34" s="32">
        <v>1.9</v>
      </c>
      <c r="P34" s="32">
        <v>1.89</v>
      </c>
      <c r="Q34" s="32">
        <v>1.95</v>
      </c>
      <c r="R34" s="32">
        <v>1.92</v>
      </c>
      <c r="S34" s="32">
        <v>1.98</v>
      </c>
      <c r="T34" s="32">
        <v>1.95</v>
      </c>
      <c r="U34" s="32">
        <v>1.97</v>
      </c>
      <c r="V34" s="32">
        <v>1.95</v>
      </c>
      <c r="W34" s="32">
        <v>1.91</v>
      </c>
      <c r="X34" s="32">
        <v>1.91</v>
      </c>
      <c r="Y34" s="32">
        <v>1.85</v>
      </c>
      <c r="Z34" s="32">
        <v>1.96</v>
      </c>
      <c r="AA34" s="32">
        <v>1.86</v>
      </c>
      <c r="AB34" s="32">
        <v>1.96</v>
      </c>
      <c r="AC34" s="32">
        <v>1.95</v>
      </c>
      <c r="AD34" s="32">
        <v>1.9</v>
      </c>
      <c r="AE34" s="32">
        <v>1.95</v>
      </c>
      <c r="AF34" s="32">
        <v>1.97</v>
      </c>
      <c r="AG34" s="32">
        <v>1.92</v>
      </c>
      <c r="AH34" s="32">
        <v>1.92</v>
      </c>
      <c r="AI34" s="32">
        <v>1.95</v>
      </c>
      <c r="AJ34" s="32">
        <v>1.95</v>
      </c>
      <c r="AK34" s="32">
        <v>1.95</v>
      </c>
      <c r="AL34" s="32">
        <v>1.92</v>
      </c>
      <c r="AM34" s="32">
        <v>1.94</v>
      </c>
      <c r="AN34" s="33">
        <f t="shared" si="0"/>
        <v>1.9378787878787882</v>
      </c>
      <c r="AO34" s="34"/>
    </row>
    <row r="35" spans="1:41" ht="30" customHeight="1" x14ac:dyDescent="0.3">
      <c r="A35" s="31" t="s">
        <v>444</v>
      </c>
      <c r="B35" s="45" t="s">
        <v>446</v>
      </c>
      <c r="C35" s="25" t="s">
        <v>862</v>
      </c>
      <c r="D35" s="14" t="s">
        <v>863</v>
      </c>
      <c r="E35" s="25" t="s">
        <v>241</v>
      </c>
      <c r="F35" s="25">
        <v>2</v>
      </c>
      <c r="G35" s="32">
        <v>1.31</v>
      </c>
      <c r="H35" s="32">
        <v>1.19</v>
      </c>
      <c r="I35" s="32">
        <v>1.08</v>
      </c>
      <c r="J35" s="32">
        <v>0.57999999999999996</v>
      </c>
      <c r="K35" s="32">
        <v>0.7</v>
      </c>
      <c r="L35" s="32">
        <v>0.89</v>
      </c>
      <c r="M35" s="32">
        <v>1.05</v>
      </c>
      <c r="N35" s="32">
        <v>1.23</v>
      </c>
      <c r="O35" s="32">
        <v>0.54</v>
      </c>
      <c r="P35" s="32">
        <v>1.1100000000000001</v>
      </c>
      <c r="Q35" s="32">
        <v>0.98</v>
      </c>
      <c r="R35" s="32">
        <v>1.03</v>
      </c>
      <c r="S35" s="32">
        <v>1.08</v>
      </c>
      <c r="T35" s="32">
        <v>1.26</v>
      </c>
      <c r="U35" s="32">
        <v>0.99</v>
      </c>
      <c r="V35" s="32">
        <v>0.83</v>
      </c>
      <c r="W35" s="32">
        <v>0.6</v>
      </c>
      <c r="X35" s="32">
        <v>0.74</v>
      </c>
      <c r="Y35" s="32">
        <v>0.42</v>
      </c>
      <c r="Z35" s="32">
        <v>1.1000000000000001</v>
      </c>
      <c r="AA35" s="32">
        <v>0.87</v>
      </c>
      <c r="AB35" s="32">
        <v>0.73</v>
      </c>
      <c r="AC35" s="32">
        <v>0.78</v>
      </c>
      <c r="AD35" s="32">
        <v>0.56000000000000005</v>
      </c>
      <c r="AE35" s="32">
        <v>1.03</v>
      </c>
      <c r="AF35" s="32">
        <v>0.77</v>
      </c>
      <c r="AG35" s="32">
        <v>1.0900000000000001</v>
      </c>
      <c r="AH35" s="32">
        <v>0.55000000000000004</v>
      </c>
      <c r="AI35" s="32">
        <v>1.02</v>
      </c>
      <c r="AJ35" s="32">
        <v>1.02</v>
      </c>
      <c r="AK35" s="32">
        <v>0.67</v>
      </c>
      <c r="AL35" s="32">
        <v>0.95</v>
      </c>
      <c r="AM35" s="32">
        <v>0.78</v>
      </c>
      <c r="AN35" s="33">
        <f t="shared" si="0"/>
        <v>0.894848484848485</v>
      </c>
      <c r="AO35" s="34"/>
    </row>
    <row r="36" spans="1:41" ht="30" customHeight="1" x14ac:dyDescent="0.3">
      <c r="A36" s="31" t="s">
        <v>444</v>
      </c>
      <c r="B36" s="45" t="s">
        <v>446</v>
      </c>
      <c r="C36" s="25" t="s">
        <v>864</v>
      </c>
      <c r="D36" s="14" t="s">
        <v>865</v>
      </c>
      <c r="E36" s="25" t="s">
        <v>241</v>
      </c>
      <c r="F36" s="25">
        <v>2</v>
      </c>
      <c r="G36" s="32">
        <v>2</v>
      </c>
      <c r="H36" s="32">
        <v>2</v>
      </c>
      <c r="I36" s="32">
        <v>2</v>
      </c>
      <c r="J36" s="32">
        <v>2</v>
      </c>
      <c r="K36" s="32">
        <v>2</v>
      </c>
      <c r="L36" s="32">
        <v>2</v>
      </c>
      <c r="M36" s="32">
        <v>2</v>
      </c>
      <c r="N36" s="32">
        <v>2</v>
      </c>
      <c r="O36" s="32">
        <v>2</v>
      </c>
      <c r="P36" s="32">
        <v>2</v>
      </c>
      <c r="Q36" s="32">
        <v>2</v>
      </c>
      <c r="R36" s="32">
        <v>2</v>
      </c>
      <c r="S36" s="32">
        <v>2</v>
      </c>
      <c r="T36" s="32">
        <v>2</v>
      </c>
      <c r="U36" s="32">
        <v>2</v>
      </c>
      <c r="V36" s="32">
        <v>2</v>
      </c>
      <c r="W36" s="32">
        <v>2</v>
      </c>
      <c r="X36" s="32">
        <v>2</v>
      </c>
      <c r="Y36" s="32">
        <v>2</v>
      </c>
      <c r="Z36" s="32">
        <v>2</v>
      </c>
      <c r="AA36" s="32">
        <v>2</v>
      </c>
      <c r="AB36" s="32">
        <v>2</v>
      </c>
      <c r="AC36" s="32">
        <v>2</v>
      </c>
      <c r="AD36" s="32">
        <v>2</v>
      </c>
      <c r="AE36" s="32">
        <v>2</v>
      </c>
      <c r="AF36" s="32">
        <v>2</v>
      </c>
      <c r="AG36" s="32">
        <v>2</v>
      </c>
      <c r="AH36" s="32">
        <v>2</v>
      </c>
      <c r="AI36" s="32">
        <v>2</v>
      </c>
      <c r="AJ36" s="32">
        <v>1.99</v>
      </c>
      <c r="AK36" s="32">
        <v>2</v>
      </c>
      <c r="AL36" s="32">
        <v>2</v>
      </c>
      <c r="AM36" s="32">
        <v>1.99</v>
      </c>
      <c r="AN36" s="33">
        <f t="shared" ref="AN36:AN67" si="1">IFERROR(AVERAGE(G36:AM36),0)</f>
        <v>1.9993939393939395</v>
      </c>
      <c r="AO36" s="34"/>
    </row>
    <row r="37" spans="1:41" ht="30" customHeight="1" x14ac:dyDescent="0.3">
      <c r="A37" s="31" t="s">
        <v>444</v>
      </c>
      <c r="B37" s="45" t="s">
        <v>446</v>
      </c>
      <c r="C37" s="25" t="s">
        <v>866</v>
      </c>
      <c r="D37" s="14" t="s">
        <v>867</v>
      </c>
      <c r="E37" s="25" t="s">
        <v>241</v>
      </c>
      <c r="F37" s="25">
        <v>2</v>
      </c>
      <c r="G37" s="32">
        <v>1.96</v>
      </c>
      <c r="H37" s="32">
        <v>1.98</v>
      </c>
      <c r="I37" s="32">
        <v>1.96</v>
      </c>
      <c r="J37" s="32">
        <v>1.94</v>
      </c>
      <c r="K37" s="32">
        <v>1.95</v>
      </c>
      <c r="L37" s="32">
        <v>1.97</v>
      </c>
      <c r="M37" s="32">
        <v>1.97</v>
      </c>
      <c r="N37" s="32">
        <v>1.96</v>
      </c>
      <c r="O37" s="32">
        <v>1.94</v>
      </c>
      <c r="P37" s="32">
        <v>1.94</v>
      </c>
      <c r="Q37" s="32">
        <v>2</v>
      </c>
      <c r="R37" s="32">
        <v>1.99</v>
      </c>
      <c r="S37" s="32">
        <v>1.98</v>
      </c>
      <c r="T37" s="32">
        <v>1.98</v>
      </c>
      <c r="U37" s="32">
        <v>1.99</v>
      </c>
      <c r="V37" s="32">
        <v>1.98</v>
      </c>
      <c r="W37" s="32">
        <v>1.96</v>
      </c>
      <c r="X37" s="32">
        <v>1.94</v>
      </c>
      <c r="Y37" s="32">
        <v>1.92</v>
      </c>
      <c r="Z37" s="32">
        <v>1.97</v>
      </c>
      <c r="AA37" s="32">
        <v>1.96</v>
      </c>
      <c r="AB37" s="32">
        <v>1.99</v>
      </c>
      <c r="AC37" s="32">
        <v>2</v>
      </c>
      <c r="AD37" s="32">
        <v>1.95</v>
      </c>
      <c r="AE37" s="32">
        <v>1.96</v>
      </c>
      <c r="AF37" s="32">
        <v>1.98</v>
      </c>
      <c r="AG37" s="32">
        <v>1.98</v>
      </c>
      <c r="AH37" s="32">
        <v>1.96</v>
      </c>
      <c r="AI37" s="32">
        <v>1.99</v>
      </c>
      <c r="AJ37" s="32">
        <v>1.93</v>
      </c>
      <c r="AK37" s="32">
        <v>1.98</v>
      </c>
      <c r="AL37" s="32">
        <v>1.98</v>
      </c>
      <c r="AM37" s="32">
        <v>1.98</v>
      </c>
      <c r="AN37" s="33">
        <f t="shared" si="1"/>
        <v>1.9672727272727273</v>
      </c>
      <c r="AO37" s="34"/>
    </row>
    <row r="38" spans="1:41" ht="30" customHeight="1" x14ac:dyDescent="0.3">
      <c r="A38" s="31" t="s">
        <v>444</v>
      </c>
      <c r="B38" s="45" t="s">
        <v>446</v>
      </c>
      <c r="C38" s="25" t="s">
        <v>868</v>
      </c>
      <c r="D38" s="14" t="s">
        <v>869</v>
      </c>
      <c r="E38" s="25" t="s">
        <v>241</v>
      </c>
      <c r="F38" s="25">
        <v>2</v>
      </c>
      <c r="G38" s="32">
        <v>0.49</v>
      </c>
      <c r="H38" s="32">
        <v>0.44</v>
      </c>
      <c r="I38" s="32">
        <v>0.4</v>
      </c>
      <c r="J38" s="32">
        <v>0.24</v>
      </c>
      <c r="K38" s="32">
        <v>0.22</v>
      </c>
      <c r="L38" s="32">
        <v>0.33</v>
      </c>
      <c r="M38" s="32">
        <v>0.43</v>
      </c>
      <c r="N38" s="32">
        <v>0.95</v>
      </c>
      <c r="O38" s="32">
        <v>0.28999999999999998</v>
      </c>
      <c r="P38" s="32">
        <v>0.37</v>
      </c>
      <c r="Q38" s="32">
        <v>0.46</v>
      </c>
      <c r="R38" s="32">
        <v>0.61</v>
      </c>
      <c r="S38" s="32">
        <v>0.38</v>
      </c>
      <c r="T38" s="32">
        <v>0.54</v>
      </c>
      <c r="U38" s="32">
        <v>0.39</v>
      </c>
      <c r="V38" s="32">
        <v>0.54</v>
      </c>
      <c r="W38" s="32">
        <v>0.78</v>
      </c>
      <c r="X38" s="32">
        <v>0.22</v>
      </c>
      <c r="Y38" s="32">
        <v>0.26</v>
      </c>
      <c r="Z38" s="32">
        <v>0.46</v>
      </c>
      <c r="AA38" s="32">
        <v>0.35</v>
      </c>
      <c r="AB38" s="32">
        <v>0.33</v>
      </c>
      <c r="AC38" s="32">
        <v>0.8</v>
      </c>
      <c r="AD38" s="32">
        <v>0.28999999999999998</v>
      </c>
      <c r="AE38" s="32">
        <v>0.5</v>
      </c>
      <c r="AF38" s="32">
        <v>1.24</v>
      </c>
      <c r="AG38" s="32">
        <v>0.6</v>
      </c>
      <c r="AH38" s="32">
        <v>0.31</v>
      </c>
      <c r="AI38" s="32">
        <v>0.59</v>
      </c>
      <c r="AJ38" s="32">
        <v>0.37</v>
      </c>
      <c r="AK38" s="32">
        <v>0.51</v>
      </c>
      <c r="AL38" s="32">
        <v>1.5</v>
      </c>
      <c r="AM38" s="32">
        <v>0.7</v>
      </c>
      <c r="AN38" s="33">
        <f t="shared" si="1"/>
        <v>0.51181818181818173</v>
      </c>
      <c r="AO38" s="34"/>
    </row>
    <row r="39" spans="1:41" ht="30" customHeight="1" x14ac:dyDescent="0.3">
      <c r="A39" s="31" t="s">
        <v>444</v>
      </c>
      <c r="B39" s="45" t="s">
        <v>446</v>
      </c>
      <c r="C39" s="25" t="s">
        <v>870</v>
      </c>
      <c r="D39" s="14" t="s">
        <v>871</v>
      </c>
      <c r="E39" s="25" t="s">
        <v>241</v>
      </c>
      <c r="F39" s="25">
        <v>4</v>
      </c>
      <c r="G39" s="32">
        <v>3.64</v>
      </c>
      <c r="H39" s="32">
        <v>3.69</v>
      </c>
      <c r="I39" s="32">
        <v>3.41</v>
      </c>
      <c r="J39" s="32">
        <v>3.43</v>
      </c>
      <c r="K39" s="32">
        <v>3.26</v>
      </c>
      <c r="L39" s="32">
        <v>3.01</v>
      </c>
      <c r="M39" s="32">
        <v>3.25</v>
      </c>
      <c r="N39" s="32">
        <v>3.6</v>
      </c>
      <c r="O39" s="32">
        <v>2.75</v>
      </c>
      <c r="P39" s="32">
        <v>3.03</v>
      </c>
      <c r="Q39" s="32">
        <v>3.55</v>
      </c>
      <c r="R39" s="32">
        <v>3.68</v>
      </c>
      <c r="S39" s="32">
        <v>3.39</v>
      </c>
      <c r="T39" s="32">
        <v>3.56</v>
      </c>
      <c r="U39" s="32">
        <v>3.56</v>
      </c>
      <c r="V39" s="32">
        <v>3.74</v>
      </c>
      <c r="W39" s="32">
        <v>3.36</v>
      </c>
      <c r="X39" s="32">
        <v>3.54</v>
      </c>
      <c r="Y39" s="32">
        <v>3.45</v>
      </c>
      <c r="Z39" s="32">
        <v>3.58</v>
      </c>
      <c r="AA39" s="32">
        <v>3.69</v>
      </c>
      <c r="AB39" s="32">
        <v>2.8</v>
      </c>
      <c r="AC39" s="32">
        <v>3.37</v>
      </c>
      <c r="AD39" s="32">
        <v>2.91</v>
      </c>
      <c r="AE39" s="32">
        <v>3.33</v>
      </c>
      <c r="AF39" s="32">
        <v>3.27</v>
      </c>
      <c r="AG39" s="32">
        <v>3.64</v>
      </c>
      <c r="AH39" s="32">
        <v>3.25</v>
      </c>
      <c r="AI39" s="32">
        <v>3.43</v>
      </c>
      <c r="AJ39" s="32">
        <v>3.45</v>
      </c>
      <c r="AK39" s="32">
        <v>3.7</v>
      </c>
      <c r="AL39" s="32">
        <v>3.74</v>
      </c>
      <c r="AM39" s="32">
        <v>2.97</v>
      </c>
      <c r="AN39" s="33">
        <f t="shared" si="1"/>
        <v>3.394848484848485</v>
      </c>
      <c r="AO39" s="34"/>
    </row>
    <row r="40" spans="1:41" ht="30" customHeight="1" x14ac:dyDescent="0.3">
      <c r="A40" s="31" t="s">
        <v>444</v>
      </c>
      <c r="B40" s="45" t="s">
        <v>446</v>
      </c>
      <c r="C40" s="25" t="s">
        <v>872</v>
      </c>
      <c r="D40" s="14" t="s">
        <v>873</v>
      </c>
      <c r="E40" s="25" t="s">
        <v>241</v>
      </c>
      <c r="F40" s="25">
        <v>4</v>
      </c>
      <c r="G40" s="32">
        <v>2.57</v>
      </c>
      <c r="H40" s="32">
        <v>3.36</v>
      </c>
      <c r="I40" s="32">
        <v>3.05</v>
      </c>
      <c r="J40" s="32">
        <v>3.31</v>
      </c>
      <c r="K40" s="32">
        <v>3.3</v>
      </c>
      <c r="L40" s="32">
        <v>3.34</v>
      </c>
      <c r="M40" s="32">
        <v>3.41</v>
      </c>
      <c r="N40" s="32">
        <v>3.49</v>
      </c>
      <c r="O40" s="32">
        <v>3.42</v>
      </c>
      <c r="P40" s="32">
        <v>3.19</v>
      </c>
      <c r="Q40" s="32">
        <v>3.55</v>
      </c>
      <c r="R40" s="32">
        <v>3.57</v>
      </c>
      <c r="S40" s="32">
        <v>2.78</v>
      </c>
      <c r="T40" s="32">
        <v>3.36</v>
      </c>
      <c r="U40" s="32">
        <v>3.31</v>
      </c>
      <c r="V40" s="32">
        <v>3.05</v>
      </c>
      <c r="W40" s="32">
        <v>3.55</v>
      </c>
      <c r="X40" s="32">
        <v>3.13</v>
      </c>
      <c r="Y40" s="32">
        <v>3.28</v>
      </c>
      <c r="Z40" s="32">
        <v>3.05</v>
      </c>
      <c r="AA40" s="32">
        <v>3.53</v>
      </c>
      <c r="AB40" s="32">
        <v>3.61</v>
      </c>
      <c r="AC40" s="32">
        <v>3.29</v>
      </c>
      <c r="AD40" s="32">
        <v>3.35</v>
      </c>
      <c r="AE40" s="32">
        <v>3.24</v>
      </c>
      <c r="AF40" s="32">
        <v>3.49</v>
      </c>
      <c r="AG40" s="32">
        <v>3.33</v>
      </c>
      <c r="AH40" s="32">
        <v>3.23</v>
      </c>
      <c r="AI40" s="32">
        <v>3.35</v>
      </c>
      <c r="AJ40" s="32">
        <v>3.4</v>
      </c>
      <c r="AK40" s="32">
        <v>3.58</v>
      </c>
      <c r="AL40" s="32">
        <v>3.18</v>
      </c>
      <c r="AM40" s="32">
        <v>3.48</v>
      </c>
      <c r="AN40" s="33">
        <f t="shared" si="1"/>
        <v>3.3069696969696967</v>
      </c>
      <c r="AO40" s="34"/>
    </row>
    <row r="41" spans="1:41" ht="30" customHeight="1" x14ac:dyDescent="0.3">
      <c r="A41" s="31" t="s">
        <v>444</v>
      </c>
      <c r="B41" s="45" t="s">
        <v>446</v>
      </c>
      <c r="C41" s="25" t="s">
        <v>874</v>
      </c>
      <c r="D41" s="14" t="s">
        <v>875</v>
      </c>
      <c r="E41" s="25" t="s">
        <v>241</v>
      </c>
      <c r="F41" s="25">
        <v>4</v>
      </c>
      <c r="G41" s="32">
        <v>3.28</v>
      </c>
      <c r="H41" s="32">
        <v>3.61</v>
      </c>
      <c r="I41" s="32">
        <v>3.69</v>
      </c>
      <c r="J41" s="32">
        <v>3.45</v>
      </c>
      <c r="K41" s="32">
        <v>3.48</v>
      </c>
      <c r="L41" s="32">
        <v>3.24</v>
      </c>
      <c r="M41" s="32">
        <v>3.22</v>
      </c>
      <c r="N41" s="32">
        <v>3.67</v>
      </c>
      <c r="O41" s="32">
        <v>3.61</v>
      </c>
      <c r="P41" s="32">
        <v>3.3</v>
      </c>
      <c r="Q41" s="32">
        <v>3.58</v>
      </c>
      <c r="R41" s="32">
        <v>3.38</v>
      </c>
      <c r="S41" s="32">
        <v>3.14</v>
      </c>
      <c r="T41" s="32">
        <v>3.58</v>
      </c>
      <c r="U41" s="32">
        <v>3.55</v>
      </c>
      <c r="V41" s="32">
        <v>3.44</v>
      </c>
      <c r="W41" s="32">
        <v>3.19</v>
      </c>
      <c r="X41" s="32">
        <v>3.5</v>
      </c>
      <c r="Y41" s="32">
        <v>3.52</v>
      </c>
      <c r="Z41" s="32">
        <v>3.49</v>
      </c>
      <c r="AA41" s="32">
        <v>3.65</v>
      </c>
      <c r="AB41" s="32">
        <v>3.73</v>
      </c>
      <c r="AC41" s="32">
        <v>3.69</v>
      </c>
      <c r="AD41" s="32">
        <v>3.52</v>
      </c>
      <c r="AE41" s="32">
        <v>3.45</v>
      </c>
      <c r="AF41" s="32">
        <v>3.46</v>
      </c>
      <c r="AG41" s="32">
        <v>3.16</v>
      </c>
      <c r="AH41" s="32">
        <v>3.63</v>
      </c>
      <c r="AI41" s="32">
        <v>3.53</v>
      </c>
      <c r="AJ41" s="32">
        <v>3.54</v>
      </c>
      <c r="AK41" s="32">
        <v>3.61</v>
      </c>
      <c r="AL41" s="32">
        <v>3.56</v>
      </c>
      <c r="AM41" s="32">
        <v>3.53</v>
      </c>
      <c r="AN41" s="33">
        <f t="shared" si="1"/>
        <v>3.4842424242424239</v>
      </c>
      <c r="AO41" s="34"/>
    </row>
    <row r="42" spans="1:41" ht="30" customHeight="1" x14ac:dyDescent="0.3">
      <c r="A42" s="31" t="s">
        <v>444</v>
      </c>
      <c r="B42" s="45" t="s">
        <v>446</v>
      </c>
      <c r="C42" s="25" t="s">
        <v>447</v>
      </c>
      <c r="D42" s="14" t="s">
        <v>876</v>
      </c>
      <c r="E42" s="25" t="s">
        <v>241</v>
      </c>
      <c r="F42" s="25">
        <v>2</v>
      </c>
      <c r="G42" s="32">
        <v>1.42</v>
      </c>
      <c r="H42" s="32">
        <v>1.65</v>
      </c>
      <c r="I42" s="32">
        <v>1.49</v>
      </c>
      <c r="J42" s="32">
        <v>1.48</v>
      </c>
      <c r="K42" s="32">
        <v>1.56</v>
      </c>
      <c r="L42" s="32">
        <v>1.51</v>
      </c>
      <c r="M42" s="32">
        <v>1.65</v>
      </c>
      <c r="N42" s="32">
        <v>1.76</v>
      </c>
      <c r="O42" s="32">
        <v>1.45</v>
      </c>
      <c r="P42" s="32">
        <v>1.36</v>
      </c>
      <c r="Q42" s="32">
        <v>1.66</v>
      </c>
      <c r="R42" s="32">
        <v>1.53</v>
      </c>
      <c r="S42" s="32">
        <v>1.39</v>
      </c>
      <c r="T42" s="32">
        <v>1.67</v>
      </c>
      <c r="U42" s="32">
        <v>1.59</v>
      </c>
      <c r="V42" s="32">
        <v>1.53</v>
      </c>
      <c r="W42" s="32">
        <v>1.51</v>
      </c>
      <c r="X42" s="32">
        <v>1.46</v>
      </c>
      <c r="Y42" s="32">
        <v>1.56</v>
      </c>
      <c r="Z42" s="32">
        <v>1.57</v>
      </c>
      <c r="AA42" s="32">
        <v>1.67</v>
      </c>
      <c r="AB42" s="32">
        <v>1.71</v>
      </c>
      <c r="AC42" s="32">
        <v>1.66</v>
      </c>
      <c r="AD42" s="32">
        <v>1.46</v>
      </c>
      <c r="AE42" s="32">
        <v>1.57</v>
      </c>
      <c r="AF42" s="32">
        <v>1.67</v>
      </c>
      <c r="AG42" s="32">
        <v>1.55</v>
      </c>
      <c r="AH42" s="32">
        <v>1.58</v>
      </c>
      <c r="AI42" s="32">
        <v>1.47</v>
      </c>
      <c r="AJ42" s="32">
        <v>1.62</v>
      </c>
      <c r="AK42" s="32">
        <v>1.56</v>
      </c>
      <c r="AL42" s="32">
        <v>1.42</v>
      </c>
      <c r="AM42" s="32">
        <v>1.49</v>
      </c>
      <c r="AN42" s="33">
        <f t="shared" si="1"/>
        <v>1.5524242424242423</v>
      </c>
      <c r="AO42" s="34"/>
    </row>
    <row r="43" spans="1:41" ht="30" customHeight="1" x14ac:dyDescent="0.3">
      <c r="A43" s="31" t="s">
        <v>444</v>
      </c>
      <c r="B43" s="45" t="s">
        <v>446</v>
      </c>
      <c r="C43" s="25" t="s">
        <v>448</v>
      </c>
      <c r="D43" s="14" t="s">
        <v>877</v>
      </c>
      <c r="E43" s="25" t="s">
        <v>241</v>
      </c>
      <c r="F43" s="25">
        <v>4</v>
      </c>
      <c r="G43" s="32">
        <v>0.63</v>
      </c>
      <c r="H43" s="32">
        <v>0.4</v>
      </c>
      <c r="I43" s="32">
        <v>0.4</v>
      </c>
      <c r="J43" s="32">
        <v>0.31</v>
      </c>
      <c r="K43" s="32">
        <v>0.34</v>
      </c>
      <c r="L43" s="32">
        <v>0.44</v>
      </c>
      <c r="M43" s="32">
        <v>0.44</v>
      </c>
      <c r="N43" s="32">
        <v>0.71</v>
      </c>
      <c r="O43" s="32">
        <v>0.28999999999999998</v>
      </c>
      <c r="P43" s="32">
        <v>0.38</v>
      </c>
      <c r="Q43" s="32">
        <v>0.48</v>
      </c>
      <c r="R43" s="32">
        <v>0.41</v>
      </c>
      <c r="S43" s="32">
        <v>0.4</v>
      </c>
      <c r="T43" s="32">
        <v>0.41</v>
      </c>
      <c r="U43" s="32">
        <v>0.36</v>
      </c>
      <c r="V43" s="32">
        <v>0.45</v>
      </c>
      <c r="W43" s="32">
        <v>0.46</v>
      </c>
      <c r="X43" s="32">
        <v>0.28000000000000003</v>
      </c>
      <c r="Y43" s="32">
        <v>0.39</v>
      </c>
      <c r="Z43" s="32">
        <v>0.49</v>
      </c>
      <c r="AA43" s="32">
        <v>0.44</v>
      </c>
      <c r="AB43" s="32">
        <v>0.48</v>
      </c>
      <c r="AC43" s="32">
        <v>0.26</v>
      </c>
      <c r="AD43" s="32">
        <v>0.31</v>
      </c>
      <c r="AE43" s="32">
        <v>0.44</v>
      </c>
      <c r="AF43" s="32">
        <v>0.45</v>
      </c>
      <c r="AG43" s="32">
        <v>0.42</v>
      </c>
      <c r="AH43" s="32">
        <v>0.56000000000000005</v>
      </c>
      <c r="AI43" s="32">
        <v>0.33</v>
      </c>
      <c r="AJ43" s="32">
        <v>0.53</v>
      </c>
      <c r="AK43" s="32">
        <v>0.37</v>
      </c>
      <c r="AL43" s="32">
        <v>0.41</v>
      </c>
      <c r="AM43" s="32">
        <v>0.44</v>
      </c>
      <c r="AN43" s="33">
        <f t="shared" si="1"/>
        <v>0.42151515151515145</v>
      </c>
      <c r="AO43" s="34"/>
    </row>
    <row r="44" spans="1:41" ht="30" customHeight="1" x14ac:dyDescent="0.3">
      <c r="A44" s="31" t="s">
        <v>449</v>
      </c>
      <c r="B44" s="45" t="s">
        <v>450</v>
      </c>
      <c r="C44" s="25">
        <v>3.1</v>
      </c>
      <c r="D44" s="14" t="s">
        <v>878</v>
      </c>
      <c r="E44" s="25" t="s">
        <v>241</v>
      </c>
      <c r="F44" s="25">
        <v>10</v>
      </c>
      <c r="G44" s="32">
        <v>9.36</v>
      </c>
      <c r="H44" s="32">
        <v>9.73</v>
      </c>
      <c r="I44" s="32">
        <v>9.8000000000000007</v>
      </c>
      <c r="J44" s="32">
        <v>9.73</v>
      </c>
      <c r="K44" s="32">
        <v>9.7799999999999994</v>
      </c>
      <c r="L44" s="32">
        <v>9.65</v>
      </c>
      <c r="M44" s="32">
        <v>9.64</v>
      </c>
      <c r="N44" s="32">
        <v>9.4</v>
      </c>
      <c r="O44" s="32">
        <v>9.15</v>
      </c>
      <c r="P44" s="32">
        <v>9.43</v>
      </c>
      <c r="Q44" s="32">
        <v>9.58</v>
      </c>
      <c r="R44" s="32">
        <v>9.4600000000000009</v>
      </c>
      <c r="S44" s="32">
        <v>9.6</v>
      </c>
      <c r="T44" s="32">
        <v>9.82</v>
      </c>
      <c r="U44" s="32">
        <v>9.5</v>
      </c>
      <c r="V44" s="32">
        <v>9.67</v>
      </c>
      <c r="W44" s="32">
        <v>9.5299999999999994</v>
      </c>
      <c r="X44" s="32">
        <v>9.68</v>
      </c>
      <c r="Y44" s="32">
        <v>9.68</v>
      </c>
      <c r="Z44" s="32">
        <v>9.76</v>
      </c>
      <c r="AA44" s="32">
        <v>9.73</v>
      </c>
      <c r="AB44" s="32">
        <v>9.66</v>
      </c>
      <c r="AC44" s="32">
        <v>9.86</v>
      </c>
      <c r="AD44" s="32">
        <v>9.75</v>
      </c>
      <c r="AE44" s="32">
        <v>9.7799999999999994</v>
      </c>
      <c r="AF44" s="32">
        <v>9.61</v>
      </c>
      <c r="AG44" s="32">
        <v>9.66</v>
      </c>
      <c r="AH44" s="32">
        <v>9.7899999999999991</v>
      </c>
      <c r="AI44" s="32">
        <v>9.49</v>
      </c>
      <c r="AJ44" s="32">
        <v>9.69</v>
      </c>
      <c r="AK44" s="32">
        <v>9.6300000000000008</v>
      </c>
      <c r="AL44" s="32">
        <v>9.6999999999999993</v>
      </c>
      <c r="AM44" s="32">
        <v>9.6300000000000008</v>
      </c>
      <c r="AN44" s="33">
        <f t="shared" si="1"/>
        <v>9.6342424242424247</v>
      </c>
      <c r="AO44" s="34"/>
    </row>
    <row r="45" spans="1:41" ht="30" customHeight="1" x14ac:dyDescent="0.3">
      <c r="A45" s="31" t="s">
        <v>449</v>
      </c>
      <c r="B45" s="45" t="s">
        <v>450</v>
      </c>
      <c r="C45" s="25">
        <v>3.2</v>
      </c>
      <c r="D45" s="14" t="s">
        <v>879</v>
      </c>
      <c r="E45" s="25" t="s">
        <v>241</v>
      </c>
      <c r="F45" s="25">
        <v>10</v>
      </c>
      <c r="G45" s="32">
        <v>5.23</v>
      </c>
      <c r="H45" s="32">
        <v>5.36</v>
      </c>
      <c r="I45" s="32">
        <v>6.1</v>
      </c>
      <c r="J45" s="32">
        <v>5.99</v>
      </c>
      <c r="K45" s="32">
        <v>5.2</v>
      </c>
      <c r="L45" s="32">
        <v>4.58</v>
      </c>
      <c r="M45" s="32">
        <v>4.83</v>
      </c>
      <c r="N45" s="32">
        <v>5.08</v>
      </c>
      <c r="O45" s="32">
        <v>5.38</v>
      </c>
      <c r="P45" s="32">
        <v>2.96</v>
      </c>
      <c r="Q45" s="32">
        <v>4.91</v>
      </c>
      <c r="R45" s="32">
        <v>5.21</v>
      </c>
      <c r="S45" s="32">
        <v>5.94</v>
      </c>
      <c r="T45" s="32">
        <v>5.99</v>
      </c>
      <c r="U45" s="32">
        <v>2.57</v>
      </c>
      <c r="V45" s="32">
        <v>5.3</v>
      </c>
      <c r="W45" s="32">
        <v>3.89</v>
      </c>
      <c r="X45" s="32">
        <v>5.44</v>
      </c>
      <c r="Y45" s="32">
        <v>5.16</v>
      </c>
      <c r="Z45" s="32">
        <v>5.58</v>
      </c>
      <c r="AA45" s="32">
        <v>5.2</v>
      </c>
      <c r="AB45" s="32">
        <v>6.19</v>
      </c>
      <c r="AC45" s="32">
        <v>4.71</v>
      </c>
      <c r="AD45" s="32">
        <v>4.26</v>
      </c>
      <c r="AE45" s="32">
        <v>5.65</v>
      </c>
      <c r="AF45" s="32">
        <v>4.8499999999999996</v>
      </c>
      <c r="AG45" s="32">
        <v>4.83</v>
      </c>
      <c r="AH45" s="32">
        <v>6.18</v>
      </c>
      <c r="AI45" s="32">
        <v>5.07</v>
      </c>
      <c r="AJ45" s="32">
        <v>5.8</v>
      </c>
      <c r="AK45" s="32">
        <v>5.48</v>
      </c>
      <c r="AL45" s="32">
        <v>5.74</v>
      </c>
      <c r="AM45" s="32">
        <v>4.71</v>
      </c>
      <c r="AN45" s="33">
        <f t="shared" si="1"/>
        <v>5.1324242424242437</v>
      </c>
      <c r="AO45" s="34"/>
    </row>
    <row r="46" spans="1:41" ht="30" customHeight="1" x14ac:dyDescent="0.3">
      <c r="A46" s="31" t="s">
        <v>449</v>
      </c>
      <c r="B46" s="45" t="s">
        <v>450</v>
      </c>
      <c r="C46" s="25">
        <v>3.3</v>
      </c>
      <c r="D46" s="14" t="s">
        <v>880</v>
      </c>
      <c r="E46" s="25" t="s">
        <v>241</v>
      </c>
      <c r="F46" s="25">
        <v>5</v>
      </c>
      <c r="G46" s="32">
        <v>1.77</v>
      </c>
      <c r="H46" s="32">
        <v>1.57</v>
      </c>
      <c r="I46" s="32">
        <v>2.39</v>
      </c>
      <c r="J46" s="32">
        <v>1.99</v>
      </c>
      <c r="K46" s="32">
        <v>1.69</v>
      </c>
      <c r="L46" s="32">
        <v>2.09</v>
      </c>
      <c r="M46" s="32">
        <v>1.85</v>
      </c>
      <c r="N46" s="32">
        <v>3.14</v>
      </c>
      <c r="O46" s="32">
        <v>1.46</v>
      </c>
      <c r="P46" s="32">
        <v>1.27</v>
      </c>
      <c r="Q46" s="32">
        <v>1.37</v>
      </c>
      <c r="R46" s="32">
        <v>1.23</v>
      </c>
      <c r="S46" s="32">
        <v>2.0499999999999998</v>
      </c>
      <c r="T46" s="32">
        <v>1.58</v>
      </c>
      <c r="U46" s="32">
        <v>2.4500000000000002</v>
      </c>
      <c r="V46" s="32">
        <v>2.0499999999999998</v>
      </c>
      <c r="W46" s="32">
        <v>1.86</v>
      </c>
      <c r="X46" s="32">
        <v>2.48</v>
      </c>
      <c r="Y46" s="32">
        <v>2.0299999999999998</v>
      </c>
      <c r="Z46" s="32">
        <v>2.34</v>
      </c>
      <c r="AA46" s="32">
        <v>1.64</v>
      </c>
      <c r="AB46" s="32">
        <v>1.5</v>
      </c>
      <c r="AC46" s="32">
        <v>1.78</v>
      </c>
      <c r="AD46" s="32">
        <v>2.21</v>
      </c>
      <c r="AE46" s="32">
        <v>2.1800000000000002</v>
      </c>
      <c r="AF46" s="32">
        <v>1.63</v>
      </c>
      <c r="AG46" s="32">
        <v>2.25</v>
      </c>
      <c r="AH46" s="32">
        <v>2.2999999999999998</v>
      </c>
      <c r="AI46" s="32">
        <v>2.11</v>
      </c>
      <c r="AJ46" s="32">
        <v>2.0499999999999998</v>
      </c>
      <c r="AK46" s="32">
        <v>2.61</v>
      </c>
      <c r="AL46" s="32">
        <v>2.27</v>
      </c>
      <c r="AM46" s="32">
        <v>1.76</v>
      </c>
      <c r="AN46" s="33">
        <f t="shared" si="1"/>
        <v>1.9681818181818183</v>
      </c>
      <c r="AO46" s="34"/>
    </row>
    <row r="47" spans="1:41" ht="30" customHeight="1" x14ac:dyDescent="0.3">
      <c r="A47" s="31" t="s">
        <v>449</v>
      </c>
      <c r="B47" s="45" t="s">
        <v>450</v>
      </c>
      <c r="C47" s="25">
        <v>3.4</v>
      </c>
      <c r="D47" s="14" t="s">
        <v>881</v>
      </c>
      <c r="E47" s="25" t="s">
        <v>241</v>
      </c>
      <c r="F47" s="25">
        <v>4</v>
      </c>
      <c r="G47" s="32">
        <v>3.64</v>
      </c>
      <c r="H47" s="32">
        <v>3.89</v>
      </c>
      <c r="I47" s="32">
        <v>3.88</v>
      </c>
      <c r="J47" s="32">
        <v>3.98</v>
      </c>
      <c r="K47" s="32">
        <v>3.89</v>
      </c>
      <c r="L47" s="32">
        <v>3.83</v>
      </c>
      <c r="M47" s="32">
        <v>3.92</v>
      </c>
      <c r="N47" s="32">
        <v>3.93</v>
      </c>
      <c r="O47" s="32">
        <v>3.95</v>
      </c>
      <c r="P47" s="32">
        <v>3.88</v>
      </c>
      <c r="Q47" s="32">
        <v>3.94</v>
      </c>
      <c r="R47" s="32">
        <v>3.84</v>
      </c>
      <c r="S47" s="32">
        <v>3.73</v>
      </c>
      <c r="T47" s="32">
        <v>3.78</v>
      </c>
      <c r="U47" s="32">
        <v>3.73</v>
      </c>
      <c r="V47" s="32">
        <v>3.8</v>
      </c>
      <c r="W47" s="32">
        <v>3.87</v>
      </c>
      <c r="X47" s="32">
        <v>3.9</v>
      </c>
      <c r="Y47" s="32">
        <v>3.94</v>
      </c>
      <c r="Z47" s="32">
        <v>3.92</v>
      </c>
      <c r="AA47" s="32">
        <v>3.92</v>
      </c>
      <c r="AB47" s="32">
        <v>3.96</v>
      </c>
      <c r="AC47" s="32">
        <v>3.91</v>
      </c>
      <c r="AD47" s="32">
        <v>3.89</v>
      </c>
      <c r="AE47" s="32">
        <v>3.83</v>
      </c>
      <c r="AF47" s="32">
        <v>3.9</v>
      </c>
      <c r="AG47" s="32">
        <v>3.72</v>
      </c>
      <c r="AH47" s="32">
        <v>3.91</v>
      </c>
      <c r="AI47" s="32">
        <v>3.64</v>
      </c>
      <c r="AJ47" s="32">
        <v>3.83</v>
      </c>
      <c r="AK47" s="32">
        <v>3.95</v>
      </c>
      <c r="AL47" s="32">
        <v>3.94</v>
      </c>
      <c r="AM47" s="32">
        <v>3.8</v>
      </c>
      <c r="AN47" s="33">
        <f t="shared" si="1"/>
        <v>3.8618181818181818</v>
      </c>
      <c r="AO47" s="34"/>
    </row>
    <row r="48" spans="1:41" ht="30" customHeight="1" x14ac:dyDescent="0.3">
      <c r="A48" s="31" t="s">
        <v>449</v>
      </c>
      <c r="B48" s="45" t="s">
        <v>450</v>
      </c>
      <c r="C48" s="25">
        <v>3.5</v>
      </c>
      <c r="D48" s="14" t="s">
        <v>882</v>
      </c>
      <c r="E48" s="25" t="s">
        <v>241</v>
      </c>
      <c r="F48" s="25">
        <v>4</v>
      </c>
      <c r="G48" s="32">
        <v>2.2400000000000002</v>
      </c>
      <c r="H48" s="32">
        <v>2.92</v>
      </c>
      <c r="I48" s="32">
        <v>2.48</v>
      </c>
      <c r="J48" s="32">
        <v>2.98</v>
      </c>
      <c r="K48" s="32">
        <v>2.73</v>
      </c>
      <c r="L48" s="32">
        <v>2.85</v>
      </c>
      <c r="M48" s="32">
        <v>2.52</v>
      </c>
      <c r="N48" s="32">
        <v>2.17</v>
      </c>
      <c r="O48" s="32">
        <v>2.83</v>
      </c>
      <c r="P48" s="32">
        <v>2.5499999999999998</v>
      </c>
      <c r="Q48" s="32">
        <v>3.4</v>
      </c>
      <c r="R48" s="32">
        <v>2.7</v>
      </c>
      <c r="S48" s="32">
        <v>2.14</v>
      </c>
      <c r="T48" s="32">
        <v>2.16</v>
      </c>
      <c r="U48" s="32">
        <v>1.89</v>
      </c>
      <c r="V48" s="32">
        <v>2.2999999999999998</v>
      </c>
      <c r="W48" s="32">
        <v>2.09</v>
      </c>
      <c r="X48" s="32">
        <v>2.77</v>
      </c>
      <c r="Y48" s="32">
        <v>2.75</v>
      </c>
      <c r="Z48" s="32">
        <v>2.58</v>
      </c>
      <c r="AA48" s="32">
        <v>2.3199999999999998</v>
      </c>
      <c r="AB48" s="32">
        <v>2.39</v>
      </c>
      <c r="AC48" s="32">
        <v>3.15</v>
      </c>
      <c r="AD48" s="32">
        <v>2.59</v>
      </c>
      <c r="AE48" s="32">
        <v>2.92</v>
      </c>
      <c r="AF48" s="32">
        <v>2.73</v>
      </c>
      <c r="AG48" s="32">
        <v>1.91</v>
      </c>
      <c r="AH48" s="32">
        <v>2.5499999999999998</v>
      </c>
      <c r="AI48" s="32">
        <v>1.82</v>
      </c>
      <c r="AJ48" s="32">
        <v>2.25</v>
      </c>
      <c r="AK48" s="32">
        <v>2.87</v>
      </c>
      <c r="AL48" s="32">
        <v>2.33</v>
      </c>
      <c r="AM48" s="32">
        <v>2.74</v>
      </c>
      <c r="AN48" s="33">
        <f t="shared" si="1"/>
        <v>2.5339393939393937</v>
      </c>
      <c r="AO48" s="34"/>
    </row>
    <row r="49" spans="1:41" ht="30" customHeight="1" x14ac:dyDescent="0.3">
      <c r="A49" s="31" t="s">
        <v>449</v>
      </c>
      <c r="B49" s="45" t="s">
        <v>450</v>
      </c>
      <c r="C49" s="25">
        <v>3.6</v>
      </c>
      <c r="D49" s="14" t="s">
        <v>883</v>
      </c>
      <c r="E49" s="25" t="s">
        <v>241</v>
      </c>
      <c r="F49" s="25">
        <v>4</v>
      </c>
      <c r="G49" s="32">
        <v>1.74</v>
      </c>
      <c r="H49" s="32">
        <v>1.76</v>
      </c>
      <c r="I49" s="32">
        <v>2.41</v>
      </c>
      <c r="J49" s="32">
        <v>1.26</v>
      </c>
      <c r="K49" s="32">
        <v>1.6</v>
      </c>
      <c r="L49" s="32">
        <v>2.33</v>
      </c>
      <c r="M49" s="32">
        <v>1.79</v>
      </c>
      <c r="N49" s="32">
        <v>1.39</v>
      </c>
      <c r="O49" s="32">
        <v>1.74</v>
      </c>
      <c r="P49" s="32">
        <v>0.96</v>
      </c>
      <c r="Q49" s="32">
        <v>1.28</v>
      </c>
      <c r="R49" s="32">
        <v>1.6</v>
      </c>
      <c r="S49" s="32">
        <v>2.42</v>
      </c>
      <c r="T49" s="32">
        <v>1.5</v>
      </c>
      <c r="U49" s="32">
        <v>1.4</v>
      </c>
      <c r="V49" s="32">
        <v>1.58</v>
      </c>
      <c r="W49" s="32">
        <v>2.14</v>
      </c>
      <c r="X49" s="32">
        <v>1.79</v>
      </c>
      <c r="Y49" s="32">
        <v>1.6</v>
      </c>
      <c r="Z49" s="32">
        <v>2.63</v>
      </c>
      <c r="AA49" s="32">
        <v>1.92</v>
      </c>
      <c r="AB49" s="32">
        <v>1.47</v>
      </c>
      <c r="AC49" s="32">
        <v>2.44</v>
      </c>
      <c r="AD49" s="32">
        <v>1.33</v>
      </c>
      <c r="AE49" s="32">
        <v>2</v>
      </c>
      <c r="AF49" s="32">
        <v>1.5</v>
      </c>
      <c r="AG49" s="32">
        <v>1.96</v>
      </c>
      <c r="AH49" s="32">
        <v>1.94</v>
      </c>
      <c r="AI49" s="32">
        <v>2.09</v>
      </c>
      <c r="AJ49" s="32">
        <v>1.63</v>
      </c>
      <c r="AK49" s="32">
        <v>1.59</v>
      </c>
      <c r="AL49" s="32">
        <v>2.2599999999999998</v>
      </c>
      <c r="AM49" s="32">
        <v>2.0099999999999998</v>
      </c>
      <c r="AN49" s="33">
        <f t="shared" si="1"/>
        <v>1.7896969696969696</v>
      </c>
      <c r="AO49" s="34"/>
    </row>
    <row r="50" spans="1:41" ht="30" customHeight="1" x14ac:dyDescent="0.3">
      <c r="A50" s="31" t="s">
        <v>449</v>
      </c>
      <c r="B50" s="45" t="s">
        <v>450</v>
      </c>
      <c r="C50" s="25">
        <v>3.7</v>
      </c>
      <c r="D50" s="14" t="s">
        <v>884</v>
      </c>
      <c r="E50" s="25" t="s">
        <v>241</v>
      </c>
      <c r="F50" s="25">
        <v>4</v>
      </c>
      <c r="G50" s="32">
        <v>0.96</v>
      </c>
      <c r="H50" s="32">
        <v>2.11</v>
      </c>
      <c r="I50" s="32">
        <v>2.3199999999999998</v>
      </c>
      <c r="J50" s="32">
        <v>2.75</v>
      </c>
      <c r="K50" s="32">
        <v>2.33</v>
      </c>
      <c r="L50" s="32">
        <v>2.0499999999999998</v>
      </c>
      <c r="M50" s="32">
        <v>1.8</v>
      </c>
      <c r="N50" s="32">
        <v>2.2400000000000002</v>
      </c>
      <c r="O50" s="32">
        <v>2.3199999999999998</v>
      </c>
      <c r="P50" s="32">
        <v>2.16</v>
      </c>
      <c r="Q50" s="32">
        <v>3.48</v>
      </c>
      <c r="R50" s="32">
        <v>1.55</v>
      </c>
      <c r="S50" s="32">
        <v>1.77</v>
      </c>
      <c r="T50" s="32">
        <v>1.81</v>
      </c>
      <c r="U50" s="32">
        <v>0.88</v>
      </c>
      <c r="V50" s="32">
        <v>1.47</v>
      </c>
      <c r="W50" s="32">
        <v>1.89</v>
      </c>
      <c r="X50" s="32">
        <v>2.17</v>
      </c>
      <c r="Y50" s="32">
        <v>2.2200000000000002</v>
      </c>
      <c r="Z50" s="32">
        <v>2.2000000000000002</v>
      </c>
      <c r="AA50" s="32">
        <v>1.59</v>
      </c>
      <c r="AB50" s="32">
        <v>2.78</v>
      </c>
      <c r="AC50" s="32">
        <v>2.61</v>
      </c>
      <c r="AD50" s="32">
        <v>2.17</v>
      </c>
      <c r="AE50" s="32">
        <v>2.2000000000000002</v>
      </c>
      <c r="AF50" s="32">
        <v>1.24</v>
      </c>
      <c r="AG50" s="32">
        <v>1.25</v>
      </c>
      <c r="AH50" s="32">
        <v>2.65</v>
      </c>
      <c r="AI50" s="32">
        <v>1.61</v>
      </c>
      <c r="AJ50" s="32">
        <v>1.48</v>
      </c>
      <c r="AK50" s="32">
        <v>3.31</v>
      </c>
      <c r="AL50" s="32">
        <v>1.36</v>
      </c>
      <c r="AM50" s="32">
        <v>2.69</v>
      </c>
      <c r="AN50" s="33">
        <f t="shared" si="1"/>
        <v>2.0430303030303034</v>
      </c>
      <c r="AO50" s="34"/>
    </row>
    <row r="51" spans="1:41" ht="30" customHeight="1" x14ac:dyDescent="0.3">
      <c r="A51" s="31" t="s">
        <v>449</v>
      </c>
      <c r="B51" s="45" t="s">
        <v>450</v>
      </c>
      <c r="C51" s="25">
        <v>3.8</v>
      </c>
      <c r="D51" s="14" t="s">
        <v>885</v>
      </c>
      <c r="E51" s="25" t="s">
        <v>241</v>
      </c>
      <c r="F51" s="25">
        <v>4</v>
      </c>
      <c r="G51" s="32">
        <v>3.62</v>
      </c>
      <c r="H51" s="32">
        <v>2.63</v>
      </c>
      <c r="I51" s="32">
        <v>2.74</v>
      </c>
      <c r="J51" s="32">
        <v>3.8</v>
      </c>
      <c r="K51" s="32">
        <v>3.63</v>
      </c>
      <c r="L51" s="32">
        <v>3.22</v>
      </c>
      <c r="M51" s="32">
        <v>3.86</v>
      </c>
      <c r="N51" s="32">
        <v>2.6</v>
      </c>
      <c r="O51" s="32">
        <v>2.61</v>
      </c>
      <c r="P51" s="32">
        <v>3.34</v>
      </c>
      <c r="Q51" s="32">
        <v>3.79</v>
      </c>
      <c r="R51" s="32">
        <v>3.92</v>
      </c>
      <c r="S51" s="32">
        <v>2.71</v>
      </c>
      <c r="T51" s="32">
        <v>2.92</v>
      </c>
      <c r="U51" s="32">
        <v>4</v>
      </c>
      <c r="V51" s="32">
        <v>3.91</v>
      </c>
      <c r="W51" s="32">
        <v>3.21</v>
      </c>
      <c r="X51" s="32">
        <v>4</v>
      </c>
      <c r="Y51" s="32">
        <v>3.95</v>
      </c>
      <c r="Z51" s="32">
        <v>3.96</v>
      </c>
      <c r="AA51" s="32">
        <v>3.94</v>
      </c>
      <c r="AB51" s="32">
        <v>4</v>
      </c>
      <c r="AC51" s="32">
        <v>3.87</v>
      </c>
      <c r="AD51" s="32">
        <v>3.95</v>
      </c>
      <c r="AE51" s="32">
        <v>2.89</v>
      </c>
      <c r="AF51" s="32">
        <v>3.55</v>
      </c>
      <c r="AG51" s="32">
        <v>3.6</v>
      </c>
      <c r="AH51" s="32">
        <v>3.9</v>
      </c>
      <c r="AI51" s="32">
        <v>3.37</v>
      </c>
      <c r="AJ51" s="32">
        <v>2.72</v>
      </c>
      <c r="AK51" s="32">
        <v>3.59</v>
      </c>
      <c r="AL51" s="32">
        <v>3.39</v>
      </c>
      <c r="AM51" s="32">
        <v>3.19</v>
      </c>
      <c r="AN51" s="33">
        <f t="shared" si="1"/>
        <v>3.4660606060606058</v>
      </c>
      <c r="AO51" s="34"/>
    </row>
    <row r="52" spans="1:41" ht="30" customHeight="1" x14ac:dyDescent="0.3">
      <c r="A52" s="31" t="s">
        <v>449</v>
      </c>
      <c r="B52" s="45" t="s">
        <v>450</v>
      </c>
      <c r="C52" s="25">
        <v>3.9</v>
      </c>
      <c r="D52" s="14" t="s">
        <v>873</v>
      </c>
      <c r="E52" s="25" t="s">
        <v>241</v>
      </c>
      <c r="F52" s="25">
        <v>2</v>
      </c>
      <c r="G52" s="32">
        <v>1.94</v>
      </c>
      <c r="H52" s="32">
        <v>1.89</v>
      </c>
      <c r="I52" s="32">
        <v>1.9</v>
      </c>
      <c r="J52" s="32">
        <v>1.91</v>
      </c>
      <c r="K52" s="32">
        <v>1.91</v>
      </c>
      <c r="L52" s="32">
        <v>1.89</v>
      </c>
      <c r="M52" s="32">
        <v>1.84</v>
      </c>
      <c r="N52" s="32">
        <v>1.86</v>
      </c>
      <c r="O52" s="32">
        <v>1.88</v>
      </c>
      <c r="P52" s="32">
        <v>1.94</v>
      </c>
      <c r="Q52" s="32">
        <v>1.84</v>
      </c>
      <c r="R52" s="32">
        <v>1.83</v>
      </c>
      <c r="S52" s="32">
        <v>1.92</v>
      </c>
      <c r="T52" s="32">
        <v>1.93</v>
      </c>
      <c r="U52" s="32">
        <v>1.81</v>
      </c>
      <c r="V52" s="32">
        <v>1.86</v>
      </c>
      <c r="W52" s="32">
        <v>1.76</v>
      </c>
      <c r="X52" s="32">
        <v>1.96</v>
      </c>
      <c r="Y52" s="32">
        <v>1.91</v>
      </c>
      <c r="Z52" s="32">
        <v>1.91</v>
      </c>
      <c r="AA52" s="32">
        <v>1.94</v>
      </c>
      <c r="AB52" s="32">
        <v>1.9</v>
      </c>
      <c r="AC52" s="32">
        <v>1.83</v>
      </c>
      <c r="AD52" s="32">
        <v>1.91</v>
      </c>
      <c r="AE52" s="32">
        <v>1.91</v>
      </c>
      <c r="AF52" s="32">
        <v>1.96</v>
      </c>
      <c r="AG52" s="32">
        <v>1.84</v>
      </c>
      <c r="AH52" s="32">
        <v>1.89</v>
      </c>
      <c r="AI52" s="32">
        <v>1.94</v>
      </c>
      <c r="AJ52" s="32">
        <v>1.92</v>
      </c>
      <c r="AK52" s="32">
        <v>1.92</v>
      </c>
      <c r="AL52" s="32">
        <v>1.91</v>
      </c>
      <c r="AM52" s="32">
        <v>1.9</v>
      </c>
      <c r="AN52" s="33">
        <f t="shared" si="1"/>
        <v>1.8927272727272724</v>
      </c>
      <c r="AO52" s="34"/>
    </row>
    <row r="53" spans="1:41" ht="30" customHeight="1" x14ac:dyDescent="0.3">
      <c r="A53" s="31" t="s">
        <v>449</v>
      </c>
      <c r="B53" s="45" t="s">
        <v>450</v>
      </c>
      <c r="C53" s="25">
        <v>3.1</v>
      </c>
      <c r="D53" s="14" t="s">
        <v>886</v>
      </c>
      <c r="E53" s="25" t="s">
        <v>241</v>
      </c>
      <c r="F53" s="25">
        <v>2</v>
      </c>
      <c r="G53" s="32">
        <v>1.92</v>
      </c>
      <c r="H53" s="32">
        <v>1.58</v>
      </c>
      <c r="I53" s="32">
        <v>1.92</v>
      </c>
      <c r="J53" s="32">
        <v>1.81</v>
      </c>
      <c r="K53" s="32">
        <v>1.84</v>
      </c>
      <c r="L53" s="32">
        <v>1.66</v>
      </c>
      <c r="M53" s="32">
        <v>1.89</v>
      </c>
      <c r="N53" s="32">
        <v>1.86</v>
      </c>
      <c r="O53" s="32">
        <v>1.76</v>
      </c>
      <c r="P53" s="32">
        <v>1.87</v>
      </c>
      <c r="Q53" s="32">
        <v>1.8</v>
      </c>
      <c r="R53" s="32">
        <v>1.81</v>
      </c>
      <c r="S53" s="32">
        <v>1.94</v>
      </c>
      <c r="T53" s="32">
        <v>1.61</v>
      </c>
      <c r="U53" s="32">
        <v>1.79</v>
      </c>
      <c r="V53" s="32">
        <v>1.84</v>
      </c>
      <c r="W53" s="32">
        <v>1.77</v>
      </c>
      <c r="X53" s="32">
        <v>1.82</v>
      </c>
      <c r="Y53" s="32">
        <v>1.79</v>
      </c>
      <c r="Z53" s="32">
        <v>1.95</v>
      </c>
      <c r="AA53" s="32">
        <v>1.86</v>
      </c>
      <c r="AB53" s="32">
        <v>1.72</v>
      </c>
      <c r="AC53" s="32">
        <v>1.92</v>
      </c>
      <c r="AD53" s="32">
        <v>1.7</v>
      </c>
      <c r="AE53" s="32">
        <v>1.86</v>
      </c>
      <c r="AF53" s="32">
        <v>1.97</v>
      </c>
      <c r="AG53" s="32">
        <v>1.81</v>
      </c>
      <c r="AH53" s="32">
        <v>1.87</v>
      </c>
      <c r="AI53" s="32">
        <v>1.77</v>
      </c>
      <c r="AJ53" s="32">
        <v>1.88</v>
      </c>
      <c r="AK53" s="32">
        <v>1.97</v>
      </c>
      <c r="AL53" s="32">
        <v>1.95</v>
      </c>
      <c r="AM53" s="32">
        <v>1.68</v>
      </c>
      <c r="AN53" s="33">
        <f t="shared" si="1"/>
        <v>1.8239393939393942</v>
      </c>
      <c r="AO53" s="34"/>
    </row>
    <row r="54" spans="1:41" ht="30" customHeight="1" x14ac:dyDescent="0.3">
      <c r="A54" s="31" t="s">
        <v>449</v>
      </c>
      <c r="B54" s="45" t="s">
        <v>450</v>
      </c>
      <c r="C54" s="25">
        <v>3.11</v>
      </c>
      <c r="D54" s="14" t="s">
        <v>887</v>
      </c>
      <c r="E54" s="25" t="s">
        <v>241</v>
      </c>
      <c r="F54" s="25">
        <v>2</v>
      </c>
      <c r="G54" s="32">
        <v>0.65</v>
      </c>
      <c r="H54" s="32">
        <v>1.08</v>
      </c>
      <c r="I54" s="32">
        <v>1.03</v>
      </c>
      <c r="J54" s="32">
        <v>1.24</v>
      </c>
      <c r="K54" s="32">
        <v>1.03</v>
      </c>
      <c r="L54" s="32">
        <v>0.98</v>
      </c>
      <c r="M54" s="32">
        <v>1.08</v>
      </c>
      <c r="N54" s="32">
        <v>1.1000000000000001</v>
      </c>
      <c r="O54" s="32">
        <v>1</v>
      </c>
      <c r="P54" s="32">
        <v>0.84</v>
      </c>
      <c r="Q54" s="32">
        <v>1.06</v>
      </c>
      <c r="R54" s="32">
        <v>1.18</v>
      </c>
      <c r="S54" s="32">
        <v>0.7</v>
      </c>
      <c r="T54" s="32">
        <v>1.06</v>
      </c>
      <c r="U54" s="32">
        <v>0.88</v>
      </c>
      <c r="V54" s="32">
        <v>0.84</v>
      </c>
      <c r="W54" s="32">
        <v>0.98</v>
      </c>
      <c r="X54" s="32">
        <v>1.27</v>
      </c>
      <c r="Y54" s="32">
        <v>1.03</v>
      </c>
      <c r="Z54" s="32">
        <v>1.1100000000000001</v>
      </c>
      <c r="AA54" s="32">
        <v>1.23</v>
      </c>
      <c r="AB54" s="32">
        <v>1.23</v>
      </c>
      <c r="AC54" s="32">
        <v>0.92</v>
      </c>
      <c r="AD54" s="32">
        <v>1.23</v>
      </c>
      <c r="AE54" s="32">
        <v>1.25</v>
      </c>
      <c r="AF54" s="32">
        <v>1.1000000000000001</v>
      </c>
      <c r="AG54" s="32">
        <v>0.77</v>
      </c>
      <c r="AH54" s="32">
        <v>1.1000000000000001</v>
      </c>
      <c r="AI54" s="32">
        <v>0.67</v>
      </c>
      <c r="AJ54" s="32">
        <v>1.25</v>
      </c>
      <c r="AK54" s="32">
        <v>1.04</v>
      </c>
      <c r="AL54" s="32">
        <v>1.01</v>
      </c>
      <c r="AM54" s="32">
        <v>0.96</v>
      </c>
      <c r="AN54" s="33">
        <f t="shared" si="1"/>
        <v>1.0272727272727273</v>
      </c>
      <c r="AO54" s="34"/>
    </row>
    <row r="55" spans="1:41" ht="30" customHeight="1" x14ac:dyDescent="0.3">
      <c r="A55" s="31" t="s">
        <v>451</v>
      </c>
      <c r="B55" s="45" t="s">
        <v>452</v>
      </c>
      <c r="C55" s="25">
        <v>4.0999999999999996</v>
      </c>
      <c r="D55" s="14" t="s">
        <v>888</v>
      </c>
      <c r="E55" s="25" t="s">
        <v>241</v>
      </c>
      <c r="F55" s="25">
        <v>5</v>
      </c>
      <c r="G55" s="32">
        <v>1.75</v>
      </c>
      <c r="H55" s="32">
        <v>1.55</v>
      </c>
      <c r="I55" s="32">
        <v>1.86</v>
      </c>
      <c r="J55" s="32">
        <v>1.54</v>
      </c>
      <c r="K55" s="32">
        <v>1.79</v>
      </c>
      <c r="L55" s="32">
        <v>1.54</v>
      </c>
      <c r="M55" s="32">
        <v>1.94</v>
      </c>
      <c r="N55" s="32">
        <v>2.02</v>
      </c>
      <c r="O55" s="32">
        <v>1.64</v>
      </c>
      <c r="P55" s="32">
        <v>1.61</v>
      </c>
      <c r="Q55" s="32">
        <v>1.29</v>
      </c>
      <c r="R55" s="32">
        <v>1.81</v>
      </c>
      <c r="S55" s="32">
        <v>1.85</v>
      </c>
      <c r="T55" s="32">
        <v>1.91</v>
      </c>
      <c r="U55" s="32">
        <v>1.56</v>
      </c>
      <c r="V55" s="32">
        <v>1.73</v>
      </c>
      <c r="W55" s="32">
        <v>1.57</v>
      </c>
      <c r="X55" s="32">
        <v>1.79</v>
      </c>
      <c r="Y55" s="32">
        <v>1.95</v>
      </c>
      <c r="Z55" s="32">
        <v>1.92</v>
      </c>
      <c r="AA55" s="32">
        <v>1.73</v>
      </c>
      <c r="AB55" s="32">
        <v>1.83</v>
      </c>
      <c r="AC55" s="32">
        <v>1.57</v>
      </c>
      <c r="AD55" s="32">
        <v>1.64</v>
      </c>
      <c r="AE55" s="32">
        <v>1.96</v>
      </c>
      <c r="AF55" s="32">
        <v>1.67</v>
      </c>
      <c r="AG55" s="32">
        <v>1.93</v>
      </c>
      <c r="AH55" s="32">
        <v>1.88</v>
      </c>
      <c r="AI55" s="32">
        <v>1.75</v>
      </c>
      <c r="AJ55" s="32">
        <v>2.29</v>
      </c>
      <c r="AK55" s="32">
        <v>1.75</v>
      </c>
      <c r="AL55" s="32">
        <v>1.61</v>
      </c>
      <c r="AM55" s="32">
        <v>1.58</v>
      </c>
      <c r="AN55" s="33">
        <f t="shared" si="1"/>
        <v>1.7518181818181819</v>
      </c>
      <c r="AO55" s="34"/>
    </row>
    <row r="56" spans="1:41" ht="30" customHeight="1" x14ac:dyDescent="0.3">
      <c r="A56" s="31" t="s">
        <v>451</v>
      </c>
      <c r="B56" s="45" t="s">
        <v>452</v>
      </c>
      <c r="C56" s="25">
        <v>4.2</v>
      </c>
      <c r="D56" s="14" t="s">
        <v>889</v>
      </c>
      <c r="E56" s="25" t="s">
        <v>241</v>
      </c>
      <c r="F56" s="25">
        <v>5</v>
      </c>
      <c r="G56" s="32">
        <v>2.8</v>
      </c>
      <c r="H56" s="32">
        <v>2.87</v>
      </c>
      <c r="I56" s="32">
        <v>2.54</v>
      </c>
      <c r="J56" s="32">
        <v>2.65</v>
      </c>
      <c r="K56" s="32">
        <v>2.77</v>
      </c>
      <c r="L56" s="32">
        <v>2.2400000000000002</v>
      </c>
      <c r="M56" s="32">
        <v>2.73</v>
      </c>
      <c r="N56" s="32">
        <v>2.71</v>
      </c>
      <c r="O56" s="32">
        <v>2.29</v>
      </c>
      <c r="P56" s="32">
        <v>2.8</v>
      </c>
      <c r="Q56" s="32">
        <v>2.75</v>
      </c>
      <c r="R56" s="32">
        <v>2.62</v>
      </c>
      <c r="S56" s="32">
        <v>2.78</v>
      </c>
      <c r="T56" s="32">
        <v>3.21</v>
      </c>
      <c r="U56" s="32">
        <v>3.07</v>
      </c>
      <c r="V56" s="32">
        <v>2.62</v>
      </c>
      <c r="W56" s="32">
        <v>2.5499999999999998</v>
      </c>
      <c r="X56" s="32">
        <v>2.39</v>
      </c>
      <c r="Y56" s="32">
        <v>2.44</v>
      </c>
      <c r="Z56" s="32">
        <v>2.46</v>
      </c>
      <c r="AA56" s="32">
        <v>2.64</v>
      </c>
      <c r="AB56" s="32">
        <v>3.25</v>
      </c>
      <c r="AC56" s="32">
        <v>2.72</v>
      </c>
      <c r="AD56" s="32">
        <v>2.62</v>
      </c>
      <c r="AE56" s="32">
        <v>2.93</v>
      </c>
      <c r="AF56" s="32">
        <v>3.07</v>
      </c>
      <c r="AG56" s="32">
        <v>2.5299999999999998</v>
      </c>
      <c r="AH56" s="32">
        <v>2.5499999999999998</v>
      </c>
      <c r="AI56" s="32">
        <v>2.84</v>
      </c>
      <c r="AJ56" s="32">
        <v>2.68</v>
      </c>
      <c r="AK56" s="32">
        <v>2.95</v>
      </c>
      <c r="AL56" s="32">
        <v>2.5099999999999998</v>
      </c>
      <c r="AM56" s="32">
        <v>2.57</v>
      </c>
      <c r="AN56" s="33">
        <f t="shared" si="1"/>
        <v>2.7015151515151516</v>
      </c>
      <c r="AO56" s="34"/>
    </row>
    <row r="57" spans="1:41" ht="30" customHeight="1" x14ac:dyDescent="0.3">
      <c r="A57" s="31" t="s">
        <v>451</v>
      </c>
      <c r="B57" s="45" t="s">
        <v>452</v>
      </c>
      <c r="C57" s="25">
        <v>4.3</v>
      </c>
      <c r="D57" s="14" t="s">
        <v>890</v>
      </c>
      <c r="E57" s="25" t="s">
        <v>241</v>
      </c>
      <c r="F57" s="25">
        <v>5</v>
      </c>
      <c r="G57" s="32">
        <v>4.16</v>
      </c>
      <c r="H57" s="32">
        <v>4.5</v>
      </c>
      <c r="I57" s="32">
        <v>4.46</v>
      </c>
      <c r="J57" s="32">
        <v>4.53</v>
      </c>
      <c r="K57" s="32">
        <v>4.4800000000000004</v>
      </c>
      <c r="L57" s="32">
        <v>4.3600000000000003</v>
      </c>
      <c r="M57" s="32">
        <v>4.53</v>
      </c>
      <c r="N57" s="32">
        <v>4.6100000000000003</v>
      </c>
      <c r="O57" s="32">
        <v>4.66</v>
      </c>
      <c r="P57" s="32">
        <v>4.43</v>
      </c>
      <c r="Q57" s="32">
        <v>4.7300000000000004</v>
      </c>
      <c r="R57" s="32">
        <v>4.66</v>
      </c>
      <c r="S57" s="32">
        <v>4.3</v>
      </c>
      <c r="T57" s="32">
        <v>4.57</v>
      </c>
      <c r="U57" s="32">
        <v>4.4400000000000004</v>
      </c>
      <c r="V57" s="32">
        <v>4.32</v>
      </c>
      <c r="W57" s="32">
        <v>4.6399999999999997</v>
      </c>
      <c r="X57" s="32">
        <v>4.54</v>
      </c>
      <c r="Y57" s="32">
        <v>4.6500000000000004</v>
      </c>
      <c r="Z57" s="32">
        <v>4.42</v>
      </c>
      <c r="AA57" s="32">
        <v>4.37</v>
      </c>
      <c r="AB57" s="32">
        <v>4.83</v>
      </c>
      <c r="AC57" s="32">
        <v>4.63</v>
      </c>
      <c r="AD57" s="32">
        <v>4.62</v>
      </c>
      <c r="AE57" s="32">
        <v>4.63</v>
      </c>
      <c r="AF57" s="32">
        <v>4.54</v>
      </c>
      <c r="AG57" s="32">
        <v>4.2699999999999996</v>
      </c>
      <c r="AH57" s="32">
        <v>4.66</v>
      </c>
      <c r="AI57" s="32">
        <v>4.41</v>
      </c>
      <c r="AJ57" s="32">
        <v>4.57</v>
      </c>
      <c r="AK57" s="32">
        <v>4.6900000000000004</v>
      </c>
      <c r="AL57" s="32">
        <v>4.4400000000000004</v>
      </c>
      <c r="AM57" s="32">
        <v>4.46</v>
      </c>
      <c r="AN57" s="33">
        <f t="shared" si="1"/>
        <v>4.5184848484848485</v>
      </c>
      <c r="AO57" s="34"/>
    </row>
    <row r="58" spans="1:41" ht="30" customHeight="1" x14ac:dyDescent="0.3">
      <c r="A58" s="31" t="s">
        <v>451</v>
      </c>
      <c r="B58" s="45" t="s">
        <v>452</v>
      </c>
      <c r="C58" s="25">
        <v>4.4000000000000004</v>
      </c>
      <c r="D58" s="14" t="s">
        <v>891</v>
      </c>
      <c r="E58" s="25" t="s">
        <v>241</v>
      </c>
      <c r="F58" s="25">
        <v>5</v>
      </c>
      <c r="G58" s="32">
        <v>2.62</v>
      </c>
      <c r="H58" s="32">
        <v>3.52</v>
      </c>
      <c r="I58" s="32">
        <v>4.0999999999999996</v>
      </c>
      <c r="J58" s="32">
        <v>3.98</v>
      </c>
      <c r="K58" s="32">
        <v>3.77</v>
      </c>
      <c r="L58" s="32">
        <v>3.87</v>
      </c>
      <c r="M58" s="32">
        <v>3.78</v>
      </c>
      <c r="N58" s="32">
        <v>3.52</v>
      </c>
      <c r="O58" s="32">
        <v>3.83</v>
      </c>
      <c r="P58" s="32">
        <v>3.83</v>
      </c>
      <c r="Q58" s="32">
        <v>4.4000000000000004</v>
      </c>
      <c r="R58" s="32">
        <v>3.97</v>
      </c>
      <c r="S58" s="32">
        <v>3.36</v>
      </c>
      <c r="T58" s="32">
        <v>3.49</v>
      </c>
      <c r="U58" s="32">
        <v>3.1</v>
      </c>
      <c r="V58" s="32">
        <v>3.73</v>
      </c>
      <c r="W58" s="32">
        <v>3.42</v>
      </c>
      <c r="X58" s="32">
        <v>3.85</v>
      </c>
      <c r="Y58" s="32">
        <v>4.1500000000000004</v>
      </c>
      <c r="Z58" s="32">
        <v>4.12</v>
      </c>
      <c r="AA58" s="32">
        <v>3.2</v>
      </c>
      <c r="AB58" s="32">
        <v>4.55</v>
      </c>
      <c r="AC58" s="32">
        <v>4.09</v>
      </c>
      <c r="AD58" s="32">
        <v>4.07</v>
      </c>
      <c r="AE58" s="32">
        <v>3.98</v>
      </c>
      <c r="AF58" s="32">
        <v>3.54</v>
      </c>
      <c r="AG58" s="32">
        <v>3.39</v>
      </c>
      <c r="AH58" s="32">
        <v>4.0599999999999996</v>
      </c>
      <c r="AI58" s="32">
        <v>3.66</v>
      </c>
      <c r="AJ58" s="32">
        <v>3.61</v>
      </c>
      <c r="AK58" s="32">
        <v>4.33</v>
      </c>
      <c r="AL58" s="32">
        <v>3.77</v>
      </c>
      <c r="AM58" s="32">
        <v>3.95</v>
      </c>
      <c r="AN58" s="33">
        <f t="shared" si="1"/>
        <v>3.7760606060606068</v>
      </c>
      <c r="AO58" s="34"/>
    </row>
    <row r="59" spans="1:41" ht="30" customHeight="1" x14ac:dyDescent="0.3">
      <c r="A59" s="31" t="s">
        <v>451</v>
      </c>
      <c r="B59" s="45" t="s">
        <v>452</v>
      </c>
      <c r="C59" s="25">
        <v>4.5</v>
      </c>
      <c r="D59" s="14" t="s">
        <v>892</v>
      </c>
      <c r="E59" s="25" t="s">
        <v>241</v>
      </c>
      <c r="F59" s="25">
        <v>5</v>
      </c>
      <c r="G59" s="32">
        <v>1.23</v>
      </c>
      <c r="H59" s="32">
        <v>2.16</v>
      </c>
      <c r="I59" s="32">
        <v>1.93</v>
      </c>
      <c r="J59" s="32">
        <v>2.7</v>
      </c>
      <c r="K59" s="32">
        <v>2.89</v>
      </c>
      <c r="L59" s="32">
        <v>2.2400000000000002</v>
      </c>
      <c r="M59" s="32">
        <v>2.1800000000000002</v>
      </c>
      <c r="N59" s="32">
        <v>2.73</v>
      </c>
      <c r="O59" s="32">
        <v>2.8</v>
      </c>
      <c r="P59" s="32">
        <v>2.83</v>
      </c>
      <c r="Q59" s="32">
        <v>3.68</v>
      </c>
      <c r="R59" s="32">
        <v>3.31</v>
      </c>
      <c r="S59" s="32">
        <v>1.51</v>
      </c>
      <c r="T59" s="32">
        <v>2.42</v>
      </c>
      <c r="U59" s="32">
        <v>2.66</v>
      </c>
      <c r="V59" s="32">
        <v>2.38</v>
      </c>
      <c r="W59" s="32">
        <v>2.2799999999999998</v>
      </c>
      <c r="X59" s="32">
        <v>1.67</v>
      </c>
      <c r="Y59" s="32">
        <v>2.54</v>
      </c>
      <c r="Z59" s="32">
        <v>2.3199999999999998</v>
      </c>
      <c r="AA59" s="32">
        <v>0.92</v>
      </c>
      <c r="AB59" s="32">
        <v>3.09</v>
      </c>
      <c r="AC59" s="32">
        <v>1.73</v>
      </c>
      <c r="AD59" s="32">
        <v>2.74</v>
      </c>
      <c r="AE59" s="32">
        <v>2.54</v>
      </c>
      <c r="AF59" s="32">
        <v>2.14</v>
      </c>
      <c r="AG59" s="32">
        <v>1.64</v>
      </c>
      <c r="AH59" s="32">
        <v>2.63</v>
      </c>
      <c r="AI59" s="32">
        <v>1.5</v>
      </c>
      <c r="AJ59" s="32">
        <v>2.84</v>
      </c>
      <c r="AK59" s="32">
        <v>2.56</v>
      </c>
      <c r="AL59" s="32">
        <v>1.3</v>
      </c>
      <c r="AM59" s="32">
        <v>1.95</v>
      </c>
      <c r="AN59" s="33">
        <f t="shared" si="1"/>
        <v>2.3042424242424246</v>
      </c>
      <c r="AO59" s="34"/>
    </row>
    <row r="60" spans="1:41" ht="30" customHeight="1" x14ac:dyDescent="0.3">
      <c r="A60" s="31" t="s">
        <v>451</v>
      </c>
      <c r="B60" s="45" t="s">
        <v>452</v>
      </c>
      <c r="C60" s="25">
        <v>4.5999999999999996</v>
      </c>
      <c r="D60" s="14" t="s">
        <v>893</v>
      </c>
      <c r="E60" s="25" t="s">
        <v>241</v>
      </c>
      <c r="F60" s="25">
        <v>5</v>
      </c>
      <c r="G60" s="32">
        <v>3.97</v>
      </c>
      <c r="H60" s="32">
        <v>4.74</v>
      </c>
      <c r="I60" s="32">
        <v>4.68</v>
      </c>
      <c r="J60" s="32">
        <v>4.8099999999999996</v>
      </c>
      <c r="K60" s="32">
        <v>4.76</v>
      </c>
      <c r="L60" s="32">
        <v>4.7699999999999996</v>
      </c>
      <c r="M60" s="32">
        <v>4.6900000000000004</v>
      </c>
      <c r="N60" s="32">
        <v>4.78</v>
      </c>
      <c r="O60" s="32">
        <v>4.87</v>
      </c>
      <c r="P60" s="32">
        <v>4.59</v>
      </c>
      <c r="Q60" s="32">
        <v>4.91</v>
      </c>
      <c r="R60" s="32">
        <v>4.83</v>
      </c>
      <c r="S60" s="32">
        <v>4.47</v>
      </c>
      <c r="T60" s="32">
        <v>4.95</v>
      </c>
      <c r="U60" s="32">
        <v>4.6100000000000003</v>
      </c>
      <c r="V60" s="32">
        <v>4.42</v>
      </c>
      <c r="W60" s="32">
        <v>4.8</v>
      </c>
      <c r="X60" s="32">
        <v>4.72</v>
      </c>
      <c r="Y60" s="32">
        <v>4.93</v>
      </c>
      <c r="Z60" s="32">
        <v>4.7300000000000004</v>
      </c>
      <c r="AA60" s="32">
        <v>4.66</v>
      </c>
      <c r="AB60" s="32">
        <v>4.97</v>
      </c>
      <c r="AC60" s="32">
        <v>4.82</v>
      </c>
      <c r="AD60" s="32">
        <v>4.8499999999999996</v>
      </c>
      <c r="AE60" s="32">
        <v>4.78</v>
      </c>
      <c r="AF60" s="32">
        <v>4.71</v>
      </c>
      <c r="AG60" s="32">
        <v>4.4800000000000004</v>
      </c>
      <c r="AH60" s="32">
        <v>4.7699999999999996</v>
      </c>
      <c r="AI60" s="32">
        <v>4.45</v>
      </c>
      <c r="AJ60" s="32">
        <v>4.83</v>
      </c>
      <c r="AK60" s="32">
        <v>4.8499999999999996</v>
      </c>
      <c r="AL60" s="32">
        <v>4.71</v>
      </c>
      <c r="AM60" s="32">
        <v>4.83</v>
      </c>
      <c r="AN60" s="33">
        <f t="shared" si="1"/>
        <v>4.7193939393939397</v>
      </c>
      <c r="AO60" s="34"/>
    </row>
    <row r="61" spans="1:41" ht="30" customHeight="1" x14ac:dyDescent="0.3">
      <c r="A61" s="31" t="s">
        <v>451</v>
      </c>
      <c r="B61" s="45" t="s">
        <v>452</v>
      </c>
      <c r="C61" s="25">
        <v>4.7</v>
      </c>
      <c r="D61" s="14" t="s">
        <v>894</v>
      </c>
      <c r="E61" s="25" t="s">
        <v>241</v>
      </c>
      <c r="F61" s="25">
        <v>5</v>
      </c>
      <c r="G61" s="32">
        <v>1.77</v>
      </c>
      <c r="H61" s="32">
        <v>1.88</v>
      </c>
      <c r="I61" s="32">
        <v>2.35</v>
      </c>
      <c r="J61" s="32">
        <v>1.5</v>
      </c>
      <c r="K61" s="32">
        <v>1.68</v>
      </c>
      <c r="L61" s="32">
        <v>1.17</v>
      </c>
      <c r="M61" s="32">
        <v>1.48</v>
      </c>
      <c r="N61" s="32">
        <v>1.6</v>
      </c>
      <c r="O61" s="32">
        <v>1.28</v>
      </c>
      <c r="P61" s="32">
        <v>1.84</v>
      </c>
      <c r="Q61" s="32">
        <v>1.47</v>
      </c>
      <c r="R61" s="32">
        <v>1.49</v>
      </c>
      <c r="S61" s="32">
        <v>1.42</v>
      </c>
      <c r="T61" s="32">
        <v>1.79</v>
      </c>
      <c r="U61" s="32">
        <v>1.27</v>
      </c>
      <c r="V61" s="32">
        <v>1.5</v>
      </c>
      <c r="W61" s="32">
        <v>1.6</v>
      </c>
      <c r="X61" s="32">
        <v>1.62</v>
      </c>
      <c r="Y61" s="32">
        <v>1.31</v>
      </c>
      <c r="Z61" s="32">
        <v>1.89</v>
      </c>
      <c r="AA61" s="32">
        <v>1.26</v>
      </c>
      <c r="AB61" s="32">
        <v>1.33</v>
      </c>
      <c r="AC61" s="32">
        <v>1.46</v>
      </c>
      <c r="AD61" s="32">
        <v>1.5</v>
      </c>
      <c r="AE61" s="32">
        <v>1.86</v>
      </c>
      <c r="AF61" s="32">
        <v>1.29</v>
      </c>
      <c r="AG61" s="32">
        <v>1.63</v>
      </c>
      <c r="AH61" s="32">
        <v>1.22</v>
      </c>
      <c r="AI61" s="32">
        <v>2.2799999999999998</v>
      </c>
      <c r="AJ61" s="32">
        <v>1.76</v>
      </c>
      <c r="AK61" s="32">
        <v>2.36</v>
      </c>
      <c r="AL61" s="32">
        <v>1.37</v>
      </c>
      <c r="AM61" s="32">
        <v>1.37</v>
      </c>
      <c r="AN61" s="33">
        <f t="shared" si="1"/>
        <v>1.5939393939393938</v>
      </c>
      <c r="AO61" s="34"/>
    </row>
    <row r="62" spans="1:41" ht="30" customHeight="1" x14ac:dyDescent="0.3">
      <c r="A62" s="31" t="s">
        <v>453</v>
      </c>
      <c r="B62" s="45" t="s">
        <v>454</v>
      </c>
      <c r="C62" s="25">
        <v>5.0999999999999996</v>
      </c>
      <c r="D62" s="14" t="s">
        <v>895</v>
      </c>
      <c r="E62" s="25" t="s">
        <v>241</v>
      </c>
      <c r="F62" s="25">
        <v>10</v>
      </c>
      <c r="G62" s="32">
        <v>7.18</v>
      </c>
      <c r="H62" s="32">
        <v>8.75</v>
      </c>
      <c r="I62" s="32">
        <v>8.31</v>
      </c>
      <c r="J62" s="32">
        <v>8.5500000000000007</v>
      </c>
      <c r="K62" s="32">
        <v>8.07</v>
      </c>
      <c r="L62" s="32">
        <v>8.43</v>
      </c>
      <c r="M62" s="32">
        <v>7.91</v>
      </c>
      <c r="N62" s="32">
        <v>8.4700000000000006</v>
      </c>
      <c r="O62" s="32">
        <v>9.15</v>
      </c>
      <c r="P62" s="32">
        <v>7.51</v>
      </c>
      <c r="Q62" s="32">
        <v>5.43</v>
      </c>
      <c r="R62" s="32">
        <v>8.34</v>
      </c>
      <c r="S62" s="32">
        <v>8.2799999999999994</v>
      </c>
      <c r="T62" s="32">
        <v>8.11</v>
      </c>
      <c r="U62" s="32">
        <v>7.79</v>
      </c>
      <c r="V62" s="32">
        <v>7.43</v>
      </c>
      <c r="W62" s="32">
        <v>7.98</v>
      </c>
      <c r="X62" s="32">
        <v>8.61</v>
      </c>
      <c r="Y62" s="32">
        <v>8.2899999999999991</v>
      </c>
      <c r="Z62" s="32">
        <v>8.01</v>
      </c>
      <c r="AA62" s="32">
        <v>8.0500000000000007</v>
      </c>
      <c r="AB62" s="32">
        <v>9.2899999999999991</v>
      </c>
      <c r="AC62" s="32">
        <v>8.4600000000000009</v>
      </c>
      <c r="AD62" s="32">
        <v>7.7</v>
      </c>
      <c r="AE62" s="32">
        <v>7.85</v>
      </c>
      <c r="AF62" s="32">
        <v>7.94</v>
      </c>
      <c r="AG62" s="32">
        <v>7.7</v>
      </c>
      <c r="AH62" s="32">
        <v>8.09</v>
      </c>
      <c r="AI62" s="32">
        <v>8.6199999999999992</v>
      </c>
      <c r="AJ62" s="32">
        <v>8.75</v>
      </c>
      <c r="AK62" s="32">
        <v>8.1999999999999993</v>
      </c>
      <c r="AL62" s="32">
        <v>9.09</v>
      </c>
      <c r="AM62" s="32">
        <v>7.66</v>
      </c>
      <c r="AN62" s="33">
        <f t="shared" si="1"/>
        <v>8.1212121212121211</v>
      </c>
      <c r="AO62" s="34"/>
    </row>
    <row r="63" spans="1:41" ht="30" customHeight="1" x14ac:dyDescent="0.3">
      <c r="A63" s="31" t="s">
        <v>453</v>
      </c>
      <c r="B63" s="45" t="s">
        <v>454</v>
      </c>
      <c r="C63" s="25">
        <v>5.2</v>
      </c>
      <c r="D63" s="14" t="s">
        <v>896</v>
      </c>
      <c r="E63" s="25" t="s">
        <v>241</v>
      </c>
      <c r="F63" s="25">
        <v>10</v>
      </c>
      <c r="G63" s="32">
        <v>9.57</v>
      </c>
      <c r="H63" s="32">
        <v>9.4499999999999993</v>
      </c>
      <c r="I63" s="32">
        <v>8.82</v>
      </c>
      <c r="J63" s="32">
        <v>6.92</v>
      </c>
      <c r="K63" s="32">
        <v>8.77</v>
      </c>
      <c r="L63" s="32">
        <v>7.47</v>
      </c>
      <c r="M63" s="32">
        <v>9.77</v>
      </c>
      <c r="N63" s="32">
        <v>9.7799999999999994</v>
      </c>
      <c r="O63" s="32">
        <v>5.9</v>
      </c>
      <c r="P63" s="32">
        <v>7.9</v>
      </c>
      <c r="Q63" s="32">
        <v>5.78</v>
      </c>
      <c r="R63" s="32">
        <v>9.0500000000000007</v>
      </c>
      <c r="S63" s="32">
        <v>9.1300000000000008</v>
      </c>
      <c r="T63" s="32">
        <v>9.15</v>
      </c>
      <c r="U63" s="32">
        <v>9.1</v>
      </c>
      <c r="V63" s="32">
        <v>8.9499999999999993</v>
      </c>
      <c r="W63" s="32">
        <v>9.41</v>
      </c>
      <c r="X63" s="32">
        <v>8.6199999999999992</v>
      </c>
      <c r="Y63" s="32">
        <v>5.91</v>
      </c>
      <c r="Z63" s="32">
        <v>9.4600000000000009</v>
      </c>
      <c r="AA63" s="32">
        <v>9.4600000000000009</v>
      </c>
      <c r="AB63" s="32">
        <v>5.9</v>
      </c>
      <c r="AC63" s="32">
        <v>8.26</v>
      </c>
      <c r="AD63" s="32">
        <v>7.43</v>
      </c>
      <c r="AE63" s="32">
        <v>8.56</v>
      </c>
      <c r="AF63" s="32">
        <v>9.26</v>
      </c>
      <c r="AG63" s="32">
        <v>9.49</v>
      </c>
      <c r="AH63" s="32">
        <v>8.23</v>
      </c>
      <c r="AI63" s="32">
        <v>8.69</v>
      </c>
      <c r="AJ63" s="32">
        <v>9.32</v>
      </c>
      <c r="AK63" s="32">
        <v>5.42</v>
      </c>
      <c r="AL63" s="32">
        <v>8.16</v>
      </c>
      <c r="AM63" s="32">
        <v>7.39</v>
      </c>
      <c r="AN63" s="33">
        <f t="shared" si="1"/>
        <v>8.3175757575757583</v>
      </c>
      <c r="AO63" s="34"/>
    </row>
    <row r="64" spans="1:41" ht="30" customHeight="1" x14ac:dyDescent="0.3">
      <c r="A64" s="31" t="s">
        <v>453</v>
      </c>
      <c r="B64" s="45" t="s">
        <v>454</v>
      </c>
      <c r="C64" s="25">
        <v>5.3</v>
      </c>
      <c r="D64" s="14" t="s">
        <v>897</v>
      </c>
      <c r="E64" s="25" t="s">
        <v>241</v>
      </c>
      <c r="F64" s="25">
        <v>10</v>
      </c>
      <c r="G64" s="32">
        <v>7.59</v>
      </c>
      <c r="H64" s="32">
        <v>7.78</v>
      </c>
      <c r="I64" s="32">
        <v>7.48</v>
      </c>
      <c r="J64" s="32">
        <v>6.52</v>
      </c>
      <c r="K64" s="32">
        <v>7.46</v>
      </c>
      <c r="L64" s="32">
        <v>6.95</v>
      </c>
      <c r="M64" s="32">
        <v>7.93</v>
      </c>
      <c r="N64" s="32">
        <v>8.8699999999999992</v>
      </c>
      <c r="O64" s="32">
        <v>6.98</v>
      </c>
      <c r="P64" s="32">
        <v>7.02</v>
      </c>
      <c r="Q64" s="32">
        <v>6.52</v>
      </c>
      <c r="R64" s="32">
        <v>7.05</v>
      </c>
      <c r="S64" s="32">
        <v>7.51</v>
      </c>
      <c r="T64" s="32">
        <v>7.57</v>
      </c>
      <c r="U64" s="32">
        <v>7.03</v>
      </c>
      <c r="V64" s="32">
        <v>6.6</v>
      </c>
      <c r="W64" s="32">
        <v>7.11</v>
      </c>
      <c r="X64" s="32">
        <v>7.87</v>
      </c>
      <c r="Y64" s="32">
        <v>6.66</v>
      </c>
      <c r="Z64" s="32">
        <v>7.54</v>
      </c>
      <c r="AA64" s="32">
        <v>7.5</v>
      </c>
      <c r="AB64" s="32">
        <v>6.35</v>
      </c>
      <c r="AC64" s="32">
        <v>7.24</v>
      </c>
      <c r="AD64" s="32">
        <v>7.51</v>
      </c>
      <c r="AE64" s="32">
        <v>7.38</v>
      </c>
      <c r="AF64" s="32">
        <v>7.24</v>
      </c>
      <c r="AG64" s="32">
        <v>7.83</v>
      </c>
      <c r="AH64" s="32">
        <v>7.29</v>
      </c>
      <c r="AI64" s="32">
        <v>7.64</v>
      </c>
      <c r="AJ64" s="32">
        <v>8.06</v>
      </c>
      <c r="AK64" s="32">
        <v>6.86</v>
      </c>
      <c r="AL64" s="32">
        <v>7.3</v>
      </c>
      <c r="AM64" s="32">
        <v>6.72</v>
      </c>
      <c r="AN64" s="33">
        <f t="shared" si="1"/>
        <v>7.3018181818181809</v>
      </c>
      <c r="AO64" s="34"/>
    </row>
    <row r="65" spans="1:41" ht="30" customHeight="1" x14ac:dyDescent="0.3">
      <c r="A65" s="31" t="s">
        <v>453</v>
      </c>
      <c r="B65" s="45" t="s">
        <v>454</v>
      </c>
      <c r="C65" s="25">
        <v>5.4</v>
      </c>
      <c r="D65" s="14" t="s">
        <v>898</v>
      </c>
      <c r="E65" s="25" t="s">
        <v>241</v>
      </c>
      <c r="F65" s="25">
        <v>10</v>
      </c>
      <c r="G65" s="32">
        <v>0.59</v>
      </c>
      <c r="H65" s="32">
        <v>0.75</v>
      </c>
      <c r="I65" s="32">
        <v>0.62</v>
      </c>
      <c r="J65" s="32">
        <v>0.57999999999999996</v>
      </c>
      <c r="K65" s="32">
        <v>0.56000000000000005</v>
      </c>
      <c r="L65" s="32">
        <v>0.57999999999999996</v>
      </c>
      <c r="M65" s="32">
        <v>0.61</v>
      </c>
      <c r="N65" s="32">
        <v>0.57999999999999996</v>
      </c>
      <c r="O65" s="32">
        <v>0.56999999999999995</v>
      </c>
      <c r="P65" s="32">
        <v>0.38</v>
      </c>
      <c r="Q65" s="32">
        <v>0.62</v>
      </c>
      <c r="R65" s="32">
        <v>0.65</v>
      </c>
      <c r="S65" s="32">
        <v>0.71</v>
      </c>
      <c r="T65" s="32">
        <v>0.59</v>
      </c>
      <c r="U65" s="32">
        <v>0.68</v>
      </c>
      <c r="V65" s="32">
        <v>0.7</v>
      </c>
      <c r="W65" s="32">
        <v>0.69</v>
      </c>
      <c r="X65" s="32">
        <v>0.61</v>
      </c>
      <c r="Y65" s="32">
        <v>0.53</v>
      </c>
      <c r="Z65" s="32">
        <v>0.71</v>
      </c>
      <c r="AA65" s="32">
        <v>0.61</v>
      </c>
      <c r="AB65" s="32">
        <v>0.57999999999999996</v>
      </c>
      <c r="AC65" s="32">
        <v>0.65</v>
      </c>
      <c r="AD65" s="32">
        <v>0.48</v>
      </c>
      <c r="AE65" s="32">
        <v>0.59</v>
      </c>
      <c r="AF65" s="32">
        <v>0.71</v>
      </c>
      <c r="AG65" s="32">
        <v>0.79</v>
      </c>
      <c r="AH65" s="32">
        <v>0.57999999999999996</v>
      </c>
      <c r="AI65" s="32">
        <v>0.56999999999999995</v>
      </c>
      <c r="AJ65" s="32">
        <v>0.64</v>
      </c>
      <c r="AK65" s="32">
        <v>0.62</v>
      </c>
      <c r="AL65" s="32">
        <v>0.55000000000000004</v>
      </c>
      <c r="AM65" s="32">
        <v>0.53</v>
      </c>
      <c r="AN65" s="33">
        <f t="shared" si="1"/>
        <v>0.61242424242424243</v>
      </c>
      <c r="AO65" s="34"/>
    </row>
    <row r="66" spans="1:41" ht="30" customHeight="1" x14ac:dyDescent="0.3">
      <c r="A66" s="31" t="s">
        <v>453</v>
      </c>
      <c r="B66" s="45" t="s">
        <v>454</v>
      </c>
      <c r="C66" s="25">
        <v>5.5</v>
      </c>
      <c r="D66" s="14" t="s">
        <v>899</v>
      </c>
      <c r="E66" s="25" t="s">
        <v>241</v>
      </c>
      <c r="F66" s="25">
        <v>10</v>
      </c>
      <c r="G66" s="32">
        <v>6.36</v>
      </c>
      <c r="H66" s="32">
        <v>7.22</v>
      </c>
      <c r="I66" s="32">
        <v>7.25</v>
      </c>
      <c r="J66" s="32">
        <v>7.11</v>
      </c>
      <c r="K66" s="32">
        <v>7.7</v>
      </c>
      <c r="L66" s="32">
        <v>7.1</v>
      </c>
      <c r="M66" s="32">
        <v>8.15</v>
      </c>
      <c r="N66" s="32">
        <v>7.31</v>
      </c>
      <c r="O66" s="32">
        <v>7.44</v>
      </c>
      <c r="P66" s="32">
        <v>6.46</v>
      </c>
      <c r="Q66" s="32">
        <v>8.0399999999999991</v>
      </c>
      <c r="R66" s="32">
        <v>7.13</v>
      </c>
      <c r="S66" s="32">
        <v>7.35</v>
      </c>
      <c r="T66" s="32">
        <v>6.68</v>
      </c>
      <c r="U66" s="32">
        <v>7.14</v>
      </c>
      <c r="V66" s="32">
        <v>6.8</v>
      </c>
      <c r="W66" s="32">
        <v>7.49</v>
      </c>
      <c r="X66" s="32">
        <v>7.89</v>
      </c>
      <c r="Y66" s="32">
        <v>7.39</v>
      </c>
      <c r="Z66" s="32">
        <v>7.97</v>
      </c>
      <c r="AA66" s="32">
        <v>6.43</v>
      </c>
      <c r="AB66" s="32">
        <v>7.43</v>
      </c>
      <c r="AC66" s="32">
        <v>7.8</v>
      </c>
      <c r="AD66" s="32">
        <v>7.53</v>
      </c>
      <c r="AE66" s="32">
        <v>7.95</v>
      </c>
      <c r="AF66" s="32">
        <v>7.1</v>
      </c>
      <c r="AG66" s="32">
        <v>6.73</v>
      </c>
      <c r="AH66" s="32">
        <v>6.99</v>
      </c>
      <c r="AI66" s="32">
        <v>6.92</v>
      </c>
      <c r="AJ66" s="32">
        <v>7.51</v>
      </c>
      <c r="AK66" s="32">
        <v>7.58</v>
      </c>
      <c r="AL66" s="32">
        <v>6.67</v>
      </c>
      <c r="AM66" s="32">
        <v>7.66</v>
      </c>
      <c r="AN66" s="33">
        <f t="shared" si="1"/>
        <v>7.2812121212121195</v>
      </c>
      <c r="AO66" s="34"/>
    </row>
    <row r="67" spans="1:41" ht="30" customHeight="1" x14ac:dyDescent="0.3">
      <c r="A67" s="31" t="s">
        <v>455</v>
      </c>
      <c r="B67" s="45" t="s">
        <v>456</v>
      </c>
      <c r="C67" s="25">
        <v>6.1</v>
      </c>
      <c r="D67" s="14" t="s">
        <v>900</v>
      </c>
      <c r="E67" s="25" t="s">
        <v>241</v>
      </c>
      <c r="F67" s="25">
        <v>10</v>
      </c>
      <c r="G67" s="32">
        <v>9.49</v>
      </c>
      <c r="H67" s="32">
        <v>7.76</v>
      </c>
      <c r="I67" s="32">
        <v>9.35</v>
      </c>
      <c r="J67" s="32">
        <v>9</v>
      </c>
      <c r="K67" s="32">
        <v>9.1</v>
      </c>
      <c r="L67" s="32">
        <v>8.36</v>
      </c>
      <c r="M67" s="32">
        <v>9.26</v>
      </c>
      <c r="N67" s="32">
        <v>9.24</v>
      </c>
      <c r="O67" s="32">
        <v>8.86</v>
      </c>
      <c r="P67" s="32">
        <v>9.2200000000000006</v>
      </c>
      <c r="Q67" s="32">
        <v>9.18</v>
      </c>
      <c r="R67" s="32">
        <v>8.9</v>
      </c>
      <c r="S67" s="32">
        <v>9.6</v>
      </c>
      <c r="T67" s="32">
        <v>8.11</v>
      </c>
      <c r="U67" s="32">
        <v>8.74</v>
      </c>
      <c r="V67" s="32">
        <v>9.09</v>
      </c>
      <c r="W67" s="32">
        <v>8.65</v>
      </c>
      <c r="X67" s="32">
        <v>9.02</v>
      </c>
      <c r="Y67" s="32">
        <v>8.81</v>
      </c>
      <c r="Z67" s="32">
        <v>9.5</v>
      </c>
      <c r="AA67" s="32">
        <v>9.07</v>
      </c>
      <c r="AB67" s="32">
        <v>8.6999999999999993</v>
      </c>
      <c r="AC67" s="32">
        <v>9.48</v>
      </c>
      <c r="AD67" s="32">
        <v>8.67</v>
      </c>
      <c r="AE67" s="32">
        <v>8.99</v>
      </c>
      <c r="AF67" s="32">
        <v>9.6</v>
      </c>
      <c r="AG67" s="32">
        <v>8.82</v>
      </c>
      <c r="AH67" s="32">
        <v>9.3000000000000007</v>
      </c>
      <c r="AI67" s="32">
        <v>8.7899999999999991</v>
      </c>
      <c r="AJ67" s="32">
        <v>9.18</v>
      </c>
      <c r="AK67" s="32">
        <v>9.74</v>
      </c>
      <c r="AL67" s="32">
        <v>9.6199999999999992</v>
      </c>
      <c r="AM67" s="32">
        <v>8.57</v>
      </c>
      <c r="AN67" s="33">
        <f t="shared" si="1"/>
        <v>9.0233333333333334</v>
      </c>
      <c r="AO67" s="34"/>
    </row>
    <row r="68" spans="1:41" ht="30" customHeight="1" x14ac:dyDescent="0.3">
      <c r="A68" s="31" t="s">
        <v>455</v>
      </c>
      <c r="B68" s="45" t="s">
        <v>456</v>
      </c>
      <c r="C68" s="25">
        <v>6.2</v>
      </c>
      <c r="D68" s="14" t="s">
        <v>901</v>
      </c>
      <c r="E68" s="25" t="s">
        <v>241</v>
      </c>
      <c r="F68" s="25">
        <v>4</v>
      </c>
      <c r="G68" s="32">
        <v>0.16</v>
      </c>
      <c r="H68" s="32">
        <v>0.08</v>
      </c>
      <c r="I68" s="32">
        <v>0.23</v>
      </c>
      <c r="J68" s="32">
        <v>0.06</v>
      </c>
      <c r="K68" s="32">
        <v>0.13</v>
      </c>
      <c r="L68" s="32">
        <v>0.14000000000000001</v>
      </c>
      <c r="M68" s="32">
        <v>0.13</v>
      </c>
      <c r="N68" s="32">
        <v>0.12</v>
      </c>
      <c r="O68" s="32">
        <v>0.04</v>
      </c>
      <c r="P68" s="32">
        <v>0.05</v>
      </c>
      <c r="Q68" s="32">
        <v>0.05</v>
      </c>
      <c r="R68" s="32">
        <v>7.0000000000000007E-2</v>
      </c>
      <c r="S68" s="32">
        <v>0.23</v>
      </c>
      <c r="T68" s="32">
        <v>0.08</v>
      </c>
      <c r="U68" s="32">
        <v>7.0000000000000007E-2</v>
      </c>
      <c r="V68" s="32">
        <v>7.0000000000000007E-2</v>
      </c>
      <c r="W68" s="32">
        <v>7.0000000000000007E-2</v>
      </c>
      <c r="X68" s="32">
        <v>0.11</v>
      </c>
      <c r="Y68" s="32">
        <v>0.04</v>
      </c>
      <c r="Z68" s="32">
        <v>0.11</v>
      </c>
      <c r="AA68" s="32">
        <v>0.1</v>
      </c>
      <c r="AB68" s="32">
        <v>0.06</v>
      </c>
      <c r="AC68" s="32">
        <v>0.13</v>
      </c>
      <c r="AD68" s="32">
        <v>0.11</v>
      </c>
      <c r="AE68" s="32">
        <v>0.09</v>
      </c>
      <c r="AF68" s="32">
        <v>0.14000000000000001</v>
      </c>
      <c r="AG68" s="32">
        <v>0.1</v>
      </c>
      <c r="AH68" s="32">
        <v>0.06</v>
      </c>
      <c r="AI68" s="32">
        <v>0.1</v>
      </c>
      <c r="AJ68" s="32">
        <v>0.15</v>
      </c>
      <c r="AK68" s="32">
        <v>0.08</v>
      </c>
      <c r="AL68" s="32">
        <v>0.09</v>
      </c>
      <c r="AM68" s="32">
        <v>0.08</v>
      </c>
      <c r="AN68" s="33">
        <f t="shared" ref="AN68:AN73" si="2">IFERROR(AVERAGE(G68:AM68),0)</f>
        <v>0.10090909090909092</v>
      </c>
      <c r="AO68" s="34"/>
    </row>
    <row r="69" spans="1:41" ht="30" customHeight="1" x14ac:dyDescent="0.3">
      <c r="A69" s="31" t="s">
        <v>455</v>
      </c>
      <c r="B69" s="45" t="s">
        <v>456</v>
      </c>
      <c r="C69" s="25">
        <v>6.3</v>
      </c>
      <c r="D69" s="14" t="s">
        <v>902</v>
      </c>
      <c r="E69" s="25" t="s">
        <v>241</v>
      </c>
      <c r="F69" s="25">
        <v>15</v>
      </c>
      <c r="G69" s="32">
        <v>1.65</v>
      </c>
      <c r="H69" s="32">
        <v>0.96</v>
      </c>
      <c r="I69" s="32">
        <v>1.63</v>
      </c>
      <c r="J69" s="32">
        <v>0.57999999999999996</v>
      </c>
      <c r="K69" s="32">
        <v>2.02</v>
      </c>
      <c r="L69" s="32">
        <v>1.82</v>
      </c>
      <c r="M69" s="32">
        <v>3.28</v>
      </c>
      <c r="N69" s="32">
        <v>0.8</v>
      </c>
      <c r="O69" s="32">
        <v>1.22</v>
      </c>
      <c r="P69" s="32">
        <v>1.63</v>
      </c>
      <c r="Q69" s="32">
        <v>2.0699999999999998</v>
      </c>
      <c r="R69" s="32">
        <v>2.44</v>
      </c>
      <c r="S69" s="32">
        <v>1.3</v>
      </c>
      <c r="T69" s="32">
        <v>2.65</v>
      </c>
      <c r="U69" s="32">
        <v>2.08</v>
      </c>
      <c r="V69" s="32">
        <v>1.94</v>
      </c>
      <c r="W69" s="32">
        <v>1.51</v>
      </c>
      <c r="X69" s="32">
        <v>0.91</v>
      </c>
      <c r="Y69" s="32">
        <v>0.98</v>
      </c>
      <c r="Z69" s="32">
        <v>1.23</v>
      </c>
      <c r="AA69" s="32">
        <v>1.24</v>
      </c>
      <c r="AB69" s="32">
        <v>1.03</v>
      </c>
      <c r="AC69" s="32">
        <v>1.01</v>
      </c>
      <c r="AD69" s="32">
        <v>1.23</v>
      </c>
      <c r="AE69" s="32">
        <v>0.83</v>
      </c>
      <c r="AF69" s="32">
        <v>1.21</v>
      </c>
      <c r="AG69" s="32">
        <v>1.18</v>
      </c>
      <c r="AH69" s="32">
        <v>0.94</v>
      </c>
      <c r="AI69" s="32">
        <v>1.72</v>
      </c>
      <c r="AJ69" s="32">
        <v>1.43</v>
      </c>
      <c r="AK69" s="32">
        <v>1.92</v>
      </c>
      <c r="AL69" s="32">
        <v>2.1800000000000002</v>
      </c>
      <c r="AM69" s="32">
        <v>1.01</v>
      </c>
      <c r="AN69" s="33">
        <f t="shared" si="2"/>
        <v>1.5039393939393939</v>
      </c>
      <c r="AO69" s="34"/>
    </row>
    <row r="70" spans="1:41" ht="30" customHeight="1" x14ac:dyDescent="0.3">
      <c r="A70" s="31" t="s">
        <v>455</v>
      </c>
      <c r="B70" s="45" t="s">
        <v>456</v>
      </c>
      <c r="C70" s="25">
        <v>6.4</v>
      </c>
      <c r="D70" s="14" t="s">
        <v>903</v>
      </c>
      <c r="E70" s="25" t="s">
        <v>241</v>
      </c>
      <c r="F70" s="25">
        <v>15</v>
      </c>
      <c r="G70" s="32">
        <v>1.27</v>
      </c>
      <c r="H70" s="32">
        <v>0.94</v>
      </c>
      <c r="I70" s="32">
        <v>1.55</v>
      </c>
      <c r="J70" s="32">
        <v>0.55000000000000004</v>
      </c>
      <c r="K70" s="32">
        <v>2</v>
      </c>
      <c r="L70" s="32">
        <v>1.68</v>
      </c>
      <c r="M70" s="32">
        <v>1.1000000000000001</v>
      </c>
      <c r="N70" s="32">
        <v>0.9</v>
      </c>
      <c r="O70" s="32">
        <v>1.18</v>
      </c>
      <c r="P70" s="32">
        <v>1.56</v>
      </c>
      <c r="Q70" s="32">
        <v>2</v>
      </c>
      <c r="R70" s="32">
        <v>1.19</v>
      </c>
      <c r="S70" s="32">
        <v>1.18</v>
      </c>
      <c r="T70" s="32">
        <v>2.62</v>
      </c>
      <c r="U70" s="32">
        <v>2.17</v>
      </c>
      <c r="V70" s="32">
        <v>1.92</v>
      </c>
      <c r="W70" s="32">
        <v>1.49</v>
      </c>
      <c r="X70" s="32">
        <v>0.88</v>
      </c>
      <c r="Y70" s="32">
        <v>0.96</v>
      </c>
      <c r="Z70" s="32">
        <v>1.18</v>
      </c>
      <c r="AA70" s="32">
        <v>1.1100000000000001</v>
      </c>
      <c r="AB70" s="32">
        <v>1.03</v>
      </c>
      <c r="AC70" s="32">
        <v>0.93</v>
      </c>
      <c r="AD70" s="32">
        <v>1.22</v>
      </c>
      <c r="AE70" s="32">
        <v>0.83</v>
      </c>
      <c r="AF70" s="32">
        <v>1.25</v>
      </c>
      <c r="AG70" s="32">
        <v>1.1399999999999999</v>
      </c>
      <c r="AH70" s="32">
        <v>0.96</v>
      </c>
      <c r="AI70" s="32">
        <v>1.55</v>
      </c>
      <c r="AJ70" s="32">
        <v>1.35</v>
      </c>
      <c r="AK70" s="32">
        <v>1.83</v>
      </c>
      <c r="AL70" s="32">
        <v>1.93</v>
      </c>
      <c r="AM70" s="32">
        <v>0.94</v>
      </c>
      <c r="AN70" s="33">
        <f t="shared" si="2"/>
        <v>1.345151515151515</v>
      </c>
      <c r="AO70" s="34"/>
    </row>
    <row r="71" spans="1:41" ht="30" customHeight="1" x14ac:dyDescent="0.3">
      <c r="A71" s="31" t="s">
        <v>455</v>
      </c>
      <c r="B71" s="45" t="s">
        <v>456</v>
      </c>
      <c r="C71" s="25">
        <v>6.5</v>
      </c>
      <c r="D71" s="14" t="s">
        <v>904</v>
      </c>
      <c r="E71" s="25" t="s">
        <v>241</v>
      </c>
      <c r="F71" s="25">
        <v>10</v>
      </c>
      <c r="G71" s="32">
        <v>7.55</v>
      </c>
      <c r="H71" s="32">
        <v>7.69</v>
      </c>
      <c r="I71" s="32">
        <v>7.68</v>
      </c>
      <c r="J71" s="32">
        <v>7.63</v>
      </c>
      <c r="K71" s="32">
        <v>7.54</v>
      </c>
      <c r="L71" s="32">
        <v>7.95</v>
      </c>
      <c r="M71" s="32">
        <v>8.02</v>
      </c>
      <c r="N71" s="32">
        <v>7.89</v>
      </c>
      <c r="O71" s="32">
        <v>7.34</v>
      </c>
      <c r="P71" s="32">
        <v>6.99</v>
      </c>
      <c r="Q71" s="32">
        <v>7.64</v>
      </c>
      <c r="R71" s="32">
        <v>7.52</v>
      </c>
      <c r="S71" s="32">
        <v>7.68</v>
      </c>
      <c r="T71" s="32">
        <v>7.65</v>
      </c>
      <c r="U71" s="32">
        <v>7.65</v>
      </c>
      <c r="V71" s="32">
        <v>7.79</v>
      </c>
      <c r="W71" s="32">
        <v>7.11</v>
      </c>
      <c r="X71" s="32">
        <v>7.62</v>
      </c>
      <c r="Y71" s="32">
        <v>7.49</v>
      </c>
      <c r="Z71" s="32">
        <v>7.95</v>
      </c>
      <c r="AA71" s="32">
        <v>7.59</v>
      </c>
      <c r="AB71" s="32">
        <v>8.1199999999999992</v>
      </c>
      <c r="AC71" s="32">
        <v>8.3800000000000008</v>
      </c>
      <c r="AD71" s="32">
        <v>7.29</v>
      </c>
      <c r="AE71" s="32">
        <v>7.62</v>
      </c>
      <c r="AF71" s="32">
        <v>7.27</v>
      </c>
      <c r="AG71" s="32">
        <v>7.99</v>
      </c>
      <c r="AH71" s="32">
        <v>7.56</v>
      </c>
      <c r="AI71" s="32">
        <v>8.0500000000000007</v>
      </c>
      <c r="AJ71" s="32">
        <v>7.9</v>
      </c>
      <c r="AK71" s="32">
        <v>8.17</v>
      </c>
      <c r="AL71" s="32">
        <v>7.64</v>
      </c>
      <c r="AM71" s="32">
        <v>7.89</v>
      </c>
      <c r="AN71" s="33">
        <f t="shared" si="2"/>
        <v>7.6924242424242433</v>
      </c>
      <c r="AO71" s="34"/>
    </row>
    <row r="72" spans="1:41" ht="30" customHeight="1" x14ac:dyDescent="0.3">
      <c r="A72" s="31" t="s">
        <v>455</v>
      </c>
      <c r="B72" s="45" t="s">
        <v>456</v>
      </c>
      <c r="C72" s="25">
        <v>6.6</v>
      </c>
      <c r="D72" s="14" t="s">
        <v>905</v>
      </c>
      <c r="E72" s="25" t="s">
        <v>241</v>
      </c>
      <c r="F72" s="25">
        <v>15</v>
      </c>
      <c r="G72" s="32">
        <v>10.96</v>
      </c>
      <c r="H72" s="32">
        <v>10.5</v>
      </c>
      <c r="I72" s="32">
        <v>12.83</v>
      </c>
      <c r="J72" s="32">
        <v>10.31</v>
      </c>
      <c r="K72" s="32">
        <v>11.28</v>
      </c>
      <c r="L72" s="32">
        <v>11.65</v>
      </c>
      <c r="M72" s="32">
        <v>11.86</v>
      </c>
      <c r="N72" s="32">
        <v>10.76</v>
      </c>
      <c r="O72" s="32">
        <v>11.45</v>
      </c>
      <c r="P72" s="32">
        <v>11.35</v>
      </c>
      <c r="Q72" s="32">
        <v>10</v>
      </c>
      <c r="R72" s="32">
        <v>13.46</v>
      </c>
      <c r="S72" s="32">
        <v>10.88</v>
      </c>
      <c r="T72" s="32">
        <v>12.41</v>
      </c>
      <c r="U72" s="32">
        <v>12.31</v>
      </c>
      <c r="V72" s="32">
        <v>13.92</v>
      </c>
      <c r="W72" s="32">
        <v>12.03</v>
      </c>
      <c r="X72" s="32">
        <v>11.83</v>
      </c>
      <c r="Y72" s="32">
        <v>12.86</v>
      </c>
      <c r="Z72" s="32">
        <v>12.46</v>
      </c>
      <c r="AA72" s="32">
        <v>12.11</v>
      </c>
      <c r="AB72" s="32">
        <v>11.88</v>
      </c>
      <c r="AC72" s="32">
        <v>13.35</v>
      </c>
      <c r="AD72" s="32">
        <v>11.53</v>
      </c>
      <c r="AE72" s="32">
        <v>11.3</v>
      </c>
      <c r="AF72" s="32">
        <v>12.81</v>
      </c>
      <c r="AG72" s="32">
        <v>11.78</v>
      </c>
      <c r="AH72" s="32">
        <v>10.19</v>
      </c>
      <c r="AI72" s="32">
        <v>12.01</v>
      </c>
      <c r="AJ72" s="32">
        <v>11.89</v>
      </c>
      <c r="AK72" s="32">
        <v>12.92</v>
      </c>
      <c r="AL72" s="32">
        <v>11.74</v>
      </c>
      <c r="AM72" s="32">
        <v>12.26</v>
      </c>
      <c r="AN72" s="33">
        <f t="shared" si="2"/>
        <v>11.844848484848484</v>
      </c>
      <c r="AO72" s="34"/>
    </row>
    <row r="73" spans="1:41" ht="30" customHeight="1" x14ac:dyDescent="0.3">
      <c r="A73" s="31" t="s">
        <v>455</v>
      </c>
      <c r="B73" s="45" t="s">
        <v>456</v>
      </c>
      <c r="C73" s="25">
        <v>6.7</v>
      </c>
      <c r="D73" s="14" t="s">
        <v>906</v>
      </c>
      <c r="E73" s="25" t="s">
        <v>241</v>
      </c>
      <c r="F73" s="25">
        <v>15</v>
      </c>
      <c r="G73" s="32">
        <v>10.99</v>
      </c>
      <c r="H73" s="32">
        <v>10.55</v>
      </c>
      <c r="I73" s="32">
        <v>12.45</v>
      </c>
      <c r="J73" s="32">
        <v>11.08</v>
      </c>
      <c r="K73" s="32">
        <v>11.37</v>
      </c>
      <c r="L73" s="32">
        <v>11.43</v>
      </c>
      <c r="M73" s="32">
        <v>11.7</v>
      </c>
      <c r="N73" s="32">
        <v>10.82</v>
      </c>
      <c r="O73" s="32">
        <v>11.59</v>
      </c>
      <c r="P73" s="32">
        <v>11.94</v>
      </c>
      <c r="Q73" s="32">
        <v>10.77</v>
      </c>
      <c r="R73" s="32">
        <v>12.46</v>
      </c>
      <c r="S73" s="32">
        <v>10.76</v>
      </c>
      <c r="T73" s="32">
        <v>12.53</v>
      </c>
      <c r="U73" s="32">
        <v>11.81</v>
      </c>
      <c r="V73" s="32">
        <v>13.63</v>
      </c>
      <c r="W73" s="32">
        <v>11.98</v>
      </c>
      <c r="X73" s="32">
        <v>12.26</v>
      </c>
      <c r="Y73" s="32">
        <v>12.15</v>
      </c>
      <c r="Z73" s="32">
        <v>12.41</v>
      </c>
      <c r="AA73" s="32">
        <v>11.59</v>
      </c>
      <c r="AB73" s="32">
        <v>12.34</v>
      </c>
      <c r="AC73" s="32">
        <v>13.63</v>
      </c>
      <c r="AD73" s="32">
        <v>11.8</v>
      </c>
      <c r="AE73" s="32">
        <v>11.75</v>
      </c>
      <c r="AF73" s="32">
        <v>12.89</v>
      </c>
      <c r="AG73" s="32">
        <v>11.38</v>
      </c>
      <c r="AH73" s="32">
        <v>11.46</v>
      </c>
      <c r="AI73" s="32">
        <v>11.9</v>
      </c>
      <c r="AJ73" s="32">
        <v>12.42</v>
      </c>
      <c r="AK73" s="32">
        <v>12.66</v>
      </c>
      <c r="AL73" s="32">
        <v>11.83</v>
      </c>
      <c r="AM73" s="32">
        <v>12.5</v>
      </c>
      <c r="AN73" s="33">
        <f t="shared" si="2"/>
        <v>11.903939393939392</v>
      </c>
      <c r="AO73" s="34"/>
    </row>
    <row r="75" spans="1:41" x14ac:dyDescent="0.3">
      <c r="A75" s="35" t="s">
        <v>457</v>
      </c>
    </row>
    <row r="76" spans="1:41" ht="32.4" customHeight="1" x14ac:dyDescent="0.3">
      <c r="A76" s="36" t="s">
        <v>458</v>
      </c>
      <c r="F76" s="36" t="s">
        <v>432</v>
      </c>
      <c r="G76" s="36" t="str">
        <f>Districts_Setup!$B$4</f>
        <v>Ahmedabad</v>
      </c>
      <c r="H76" s="36" t="str">
        <f>Districts_Setup!$B$5</f>
        <v>Amreli</v>
      </c>
      <c r="I76" s="36" t="str">
        <f>Districts_Setup!$B$6</f>
        <v>Anand</v>
      </c>
      <c r="J76" s="36" t="str">
        <f>Districts_Setup!$B$7</f>
        <v>Aravalli</v>
      </c>
      <c r="K76" s="36" t="str">
        <f>Districts_Setup!$B$8</f>
        <v>Banaskantha</v>
      </c>
      <c r="L76" s="36" t="str">
        <f>Districts_Setup!$B$9</f>
        <v>Bharuch</v>
      </c>
      <c r="M76" s="36" t="str">
        <f>Districts_Setup!$B$10</f>
        <v>Bhavnagar</v>
      </c>
      <c r="N76" s="36" t="str">
        <f>Districts_Setup!$B$11</f>
        <v>Botad</v>
      </c>
      <c r="O76" s="36" t="str">
        <f>Districts_Setup!$B$12</f>
        <v>Chhota Udepur</v>
      </c>
      <c r="P76" s="36" t="str">
        <f>Districts_Setup!$B$13</f>
        <v>Dahod</v>
      </c>
      <c r="Q76" s="36" t="str">
        <f>Districts_Setup!$B$14</f>
        <v>Dang</v>
      </c>
      <c r="R76" s="36" t="str">
        <f>Districts_Setup!$B$15</f>
        <v>Devbhoomi Dwarka</v>
      </c>
      <c r="S76" s="36" t="str">
        <f>Districts_Setup!$B$16</f>
        <v>Gandhinagar</v>
      </c>
      <c r="T76" s="36" t="str">
        <f>Districts_Setup!$B$17</f>
        <v>Gir Somnath</v>
      </c>
      <c r="U76" s="36" t="str">
        <f>Districts_Setup!$B$18</f>
        <v>Jamnagar</v>
      </c>
      <c r="V76" s="36" t="str">
        <f>Districts_Setup!$B$19</f>
        <v>Junagadh</v>
      </c>
      <c r="W76" s="36" t="str">
        <f>Districts_Setup!$B$20</f>
        <v>Kutch</v>
      </c>
      <c r="X76" s="36" t="str">
        <f>Districts_Setup!$B$21</f>
        <v>Kheda</v>
      </c>
      <c r="Y76" s="36" t="str">
        <f>Districts_Setup!$B$22</f>
        <v>Mahisagar</v>
      </c>
      <c r="Z76" s="36" t="str">
        <f>Districts_Setup!$B$23</f>
        <v>Mehsana</v>
      </c>
      <c r="AA76" s="36" t="str">
        <f>Districts_Setup!$B$24</f>
        <v>Morbi</v>
      </c>
      <c r="AB76" s="36" t="str">
        <f>Districts_Setup!$B$25</f>
        <v>Narmada</v>
      </c>
      <c r="AC76" s="36" t="str">
        <f>Districts_Setup!$B$26</f>
        <v>Navsari</v>
      </c>
      <c r="AD76" s="36" t="str">
        <f>Districts_Setup!$B$27</f>
        <v>Panchmahal</v>
      </c>
      <c r="AE76" s="36" t="str">
        <f>Districts_Setup!$B$28</f>
        <v>Patan</v>
      </c>
      <c r="AF76" s="36" t="str">
        <f>Districts_Setup!$B$29</f>
        <v>Porbandar</v>
      </c>
      <c r="AG76" s="36" t="str">
        <f>Districts_Setup!$B$30</f>
        <v>Rajkot</v>
      </c>
      <c r="AH76" s="36" t="str">
        <f>Districts_Setup!$B$31</f>
        <v>Sabarkantha</v>
      </c>
      <c r="AI76" s="36" t="str">
        <f>Districts_Setup!$B$32</f>
        <v>Surat</v>
      </c>
      <c r="AJ76" s="36" t="str">
        <f>Districts_Setup!$B$33</f>
        <v>Surendranagar</v>
      </c>
      <c r="AK76" s="36" t="str">
        <f>Districts_Setup!$B$34</f>
        <v>Tapi</v>
      </c>
      <c r="AL76" s="36" t="str">
        <f>Districts_Setup!$B$35</f>
        <v>Vadodara</v>
      </c>
      <c r="AM76" s="36" t="str">
        <f>Districts_Setup!$B$36</f>
        <v>Valsad</v>
      </c>
      <c r="AN76" s="36" t="s">
        <v>459</v>
      </c>
    </row>
    <row r="77" spans="1:41" ht="15" customHeight="1" x14ac:dyDescent="0.3">
      <c r="A77" s="88" t="s">
        <v>460</v>
      </c>
      <c r="B77" s="88"/>
      <c r="C77" s="88"/>
      <c r="D77" s="88"/>
      <c r="E77" s="88"/>
      <c r="F77" s="46">
        <f t="shared" ref="F77:AM77" si="3">SUM(F4:F12)</f>
        <v>180</v>
      </c>
      <c r="G77" s="47">
        <f t="shared" si="3"/>
        <v>44.469999999999992</v>
      </c>
      <c r="H77" s="47">
        <f t="shared" si="3"/>
        <v>33.940000000000005</v>
      </c>
      <c r="I77" s="47">
        <f t="shared" si="3"/>
        <v>41.739999999999995</v>
      </c>
      <c r="J77" s="47">
        <f t="shared" si="3"/>
        <v>32.129999999999995</v>
      </c>
      <c r="K77" s="47">
        <f t="shared" si="3"/>
        <v>37.81</v>
      </c>
      <c r="L77" s="47">
        <f t="shared" si="3"/>
        <v>38.019999999999996</v>
      </c>
      <c r="M77" s="47">
        <f t="shared" si="3"/>
        <v>47.92</v>
      </c>
      <c r="N77" s="47">
        <f t="shared" si="3"/>
        <v>35.71</v>
      </c>
      <c r="O77" s="47">
        <f t="shared" si="3"/>
        <v>29.179999999999996</v>
      </c>
      <c r="P77" s="47">
        <f t="shared" si="3"/>
        <v>39.5</v>
      </c>
      <c r="Q77" s="47">
        <f t="shared" si="3"/>
        <v>40.299999999999997</v>
      </c>
      <c r="R77" s="47">
        <f t="shared" si="3"/>
        <v>45.93</v>
      </c>
      <c r="S77" s="47">
        <f t="shared" si="3"/>
        <v>58.17</v>
      </c>
      <c r="T77" s="47">
        <f t="shared" si="3"/>
        <v>31.129999999999995</v>
      </c>
      <c r="U77" s="47">
        <f t="shared" si="3"/>
        <v>36.519999999999996</v>
      </c>
      <c r="V77" s="47">
        <f t="shared" si="3"/>
        <v>44.05</v>
      </c>
      <c r="W77" s="47">
        <f t="shared" si="3"/>
        <v>41.73</v>
      </c>
      <c r="X77" s="47">
        <f t="shared" si="3"/>
        <v>31.619999999999997</v>
      </c>
      <c r="Y77" s="47">
        <f t="shared" si="3"/>
        <v>38.330000000000005</v>
      </c>
      <c r="Z77" s="47">
        <f t="shared" si="3"/>
        <v>43.480000000000004</v>
      </c>
      <c r="AA77" s="47">
        <f t="shared" si="3"/>
        <v>39.779999999999994</v>
      </c>
      <c r="AB77" s="47">
        <f t="shared" si="3"/>
        <v>38.569999999999993</v>
      </c>
      <c r="AC77" s="47">
        <f t="shared" si="3"/>
        <v>42.95</v>
      </c>
      <c r="AD77" s="47">
        <f t="shared" si="3"/>
        <v>41.81</v>
      </c>
      <c r="AE77" s="47">
        <f t="shared" si="3"/>
        <v>39.15</v>
      </c>
      <c r="AF77" s="47">
        <f t="shared" si="3"/>
        <v>33.660000000000004</v>
      </c>
      <c r="AG77" s="47">
        <f t="shared" si="3"/>
        <v>44.69</v>
      </c>
      <c r="AH77" s="47">
        <f t="shared" si="3"/>
        <v>45.210000000000008</v>
      </c>
      <c r="AI77" s="47">
        <f t="shared" si="3"/>
        <v>48.21</v>
      </c>
      <c r="AJ77" s="47">
        <f t="shared" si="3"/>
        <v>44.85</v>
      </c>
      <c r="AK77" s="47">
        <f t="shared" si="3"/>
        <v>48.23</v>
      </c>
      <c r="AL77" s="47">
        <f t="shared" si="3"/>
        <v>47.860000000000007</v>
      </c>
      <c r="AM77" s="47">
        <f t="shared" si="3"/>
        <v>44.49</v>
      </c>
      <c r="AN77" s="47">
        <f t="shared" ref="AN77:AN93" si="4">IFERROR(AVERAGE(G77:AM77),0)</f>
        <v>40.943636363636358</v>
      </c>
    </row>
    <row r="78" spans="1:41" ht="15" customHeight="1" x14ac:dyDescent="0.3">
      <c r="A78" s="88" t="s">
        <v>461</v>
      </c>
      <c r="B78" s="88"/>
      <c r="C78" s="88"/>
      <c r="D78" s="88"/>
      <c r="E78" s="88"/>
      <c r="F78" s="46">
        <f t="shared" ref="F78:AM78" si="5">SUM(F13:F19)</f>
        <v>65</v>
      </c>
      <c r="G78" s="47">
        <f t="shared" si="5"/>
        <v>55.390000000000008</v>
      </c>
      <c r="H78" s="47">
        <f t="shared" si="5"/>
        <v>54.41</v>
      </c>
      <c r="I78" s="47">
        <f t="shared" si="5"/>
        <v>58.22</v>
      </c>
      <c r="J78" s="47">
        <f t="shared" si="5"/>
        <v>59.15</v>
      </c>
      <c r="K78" s="47">
        <f t="shared" si="5"/>
        <v>51.980000000000004</v>
      </c>
      <c r="L78" s="47">
        <f t="shared" si="5"/>
        <v>56.830000000000005</v>
      </c>
      <c r="M78" s="47">
        <f t="shared" si="5"/>
        <v>55.12</v>
      </c>
      <c r="N78" s="47">
        <f t="shared" si="5"/>
        <v>55.4</v>
      </c>
      <c r="O78" s="47">
        <f t="shared" si="5"/>
        <v>50.53</v>
      </c>
      <c r="P78" s="47">
        <f t="shared" si="5"/>
        <v>51.230000000000004</v>
      </c>
      <c r="Q78" s="47">
        <f t="shared" si="5"/>
        <v>48.93</v>
      </c>
      <c r="R78" s="47">
        <f t="shared" si="5"/>
        <v>51.46</v>
      </c>
      <c r="S78" s="47">
        <f t="shared" si="5"/>
        <v>59.269999999999996</v>
      </c>
      <c r="T78" s="47">
        <f t="shared" si="5"/>
        <v>55.92</v>
      </c>
      <c r="U78" s="47">
        <f t="shared" si="5"/>
        <v>52.099999999999994</v>
      </c>
      <c r="V78" s="47">
        <f t="shared" si="5"/>
        <v>60.650000000000006</v>
      </c>
      <c r="W78" s="47">
        <f t="shared" si="5"/>
        <v>48.510000000000005</v>
      </c>
      <c r="X78" s="47">
        <f t="shared" si="5"/>
        <v>57.889999999999993</v>
      </c>
      <c r="Y78" s="47">
        <f t="shared" si="5"/>
        <v>58.69</v>
      </c>
      <c r="Z78" s="47">
        <f t="shared" si="5"/>
        <v>57.87</v>
      </c>
      <c r="AA78" s="47">
        <f t="shared" si="5"/>
        <v>52.15</v>
      </c>
      <c r="AB78" s="47">
        <f t="shared" si="5"/>
        <v>54.740000000000009</v>
      </c>
      <c r="AC78" s="47">
        <f t="shared" si="5"/>
        <v>62.55</v>
      </c>
      <c r="AD78" s="47">
        <f t="shared" si="5"/>
        <v>57.15</v>
      </c>
      <c r="AE78" s="47">
        <f t="shared" si="5"/>
        <v>52.94</v>
      </c>
      <c r="AF78" s="47">
        <f t="shared" si="5"/>
        <v>54.52</v>
      </c>
      <c r="AG78" s="47">
        <f t="shared" si="5"/>
        <v>55.570000000000007</v>
      </c>
      <c r="AH78" s="47">
        <f t="shared" si="5"/>
        <v>54.449999999999989</v>
      </c>
      <c r="AI78" s="47">
        <f t="shared" si="5"/>
        <v>56.85</v>
      </c>
      <c r="AJ78" s="47">
        <f t="shared" si="5"/>
        <v>51.730000000000004</v>
      </c>
      <c r="AK78" s="47">
        <f t="shared" si="5"/>
        <v>55.07</v>
      </c>
      <c r="AL78" s="47">
        <f t="shared" si="5"/>
        <v>57.899999999999991</v>
      </c>
      <c r="AM78" s="47">
        <f t="shared" si="5"/>
        <v>55.510000000000005</v>
      </c>
      <c r="AN78" s="47">
        <f t="shared" si="4"/>
        <v>55.172121212121205</v>
      </c>
    </row>
    <row r="79" spans="1:41" ht="15" customHeight="1" x14ac:dyDescent="0.3">
      <c r="A79" s="88" t="s">
        <v>462</v>
      </c>
      <c r="B79" s="88"/>
      <c r="C79" s="88"/>
      <c r="D79" s="88"/>
      <c r="E79" s="88"/>
      <c r="F79" s="46">
        <f t="shared" ref="F79:AM79" si="6">SUM(F20:F24)</f>
        <v>45</v>
      </c>
      <c r="G79" s="47">
        <f t="shared" si="6"/>
        <v>26.79</v>
      </c>
      <c r="H79" s="47">
        <f t="shared" si="6"/>
        <v>30.02</v>
      </c>
      <c r="I79" s="47">
        <f t="shared" si="6"/>
        <v>30.009999999999998</v>
      </c>
      <c r="J79" s="47">
        <f t="shared" si="6"/>
        <v>33.099999999999994</v>
      </c>
      <c r="K79" s="47">
        <f t="shared" si="6"/>
        <v>27.31</v>
      </c>
      <c r="L79" s="47">
        <f t="shared" si="6"/>
        <v>29.810000000000002</v>
      </c>
      <c r="M79" s="47">
        <f t="shared" si="6"/>
        <v>28.819999999999997</v>
      </c>
      <c r="N79" s="47">
        <f t="shared" si="6"/>
        <v>27.47</v>
      </c>
      <c r="O79" s="47">
        <f t="shared" si="6"/>
        <v>27.5</v>
      </c>
      <c r="P79" s="47">
        <f t="shared" si="6"/>
        <v>25.37</v>
      </c>
      <c r="Q79" s="47">
        <f t="shared" si="6"/>
        <v>28.63</v>
      </c>
      <c r="R79" s="47">
        <f t="shared" si="6"/>
        <v>30.259999999999998</v>
      </c>
      <c r="S79" s="47">
        <f t="shared" si="6"/>
        <v>30.36</v>
      </c>
      <c r="T79" s="47">
        <f t="shared" si="6"/>
        <v>31.8</v>
      </c>
      <c r="U79" s="47">
        <f t="shared" si="6"/>
        <v>30.709999999999997</v>
      </c>
      <c r="V79" s="47">
        <f t="shared" si="6"/>
        <v>33.94</v>
      </c>
      <c r="W79" s="47">
        <f t="shared" si="6"/>
        <v>28.87</v>
      </c>
      <c r="X79" s="47">
        <f t="shared" si="6"/>
        <v>30.699999999999996</v>
      </c>
      <c r="Y79" s="47">
        <f t="shared" si="6"/>
        <v>31.819999999999997</v>
      </c>
      <c r="Z79" s="47">
        <f t="shared" si="6"/>
        <v>31.189999999999998</v>
      </c>
      <c r="AA79" s="47">
        <f t="shared" si="6"/>
        <v>29.29</v>
      </c>
      <c r="AB79" s="47">
        <f t="shared" si="6"/>
        <v>28.07</v>
      </c>
      <c r="AC79" s="47">
        <f t="shared" si="6"/>
        <v>33.549999999999997</v>
      </c>
      <c r="AD79" s="47">
        <f t="shared" si="6"/>
        <v>30.85</v>
      </c>
      <c r="AE79" s="47">
        <f t="shared" si="6"/>
        <v>29.759999999999998</v>
      </c>
      <c r="AF79" s="47">
        <f t="shared" si="6"/>
        <v>32.540000000000006</v>
      </c>
      <c r="AG79" s="47">
        <f t="shared" si="6"/>
        <v>31.17</v>
      </c>
      <c r="AH79" s="47">
        <f t="shared" si="6"/>
        <v>32.010000000000005</v>
      </c>
      <c r="AI79" s="47">
        <f t="shared" si="6"/>
        <v>29.29</v>
      </c>
      <c r="AJ79" s="47">
        <f t="shared" si="6"/>
        <v>29.590000000000003</v>
      </c>
      <c r="AK79" s="47">
        <f t="shared" si="6"/>
        <v>32.159999999999997</v>
      </c>
      <c r="AL79" s="47">
        <f t="shared" si="6"/>
        <v>29.049999999999997</v>
      </c>
      <c r="AM79" s="47">
        <f t="shared" si="6"/>
        <v>31.33</v>
      </c>
      <c r="AN79" s="47">
        <f t="shared" si="4"/>
        <v>30.09515151515151</v>
      </c>
    </row>
    <row r="80" spans="1:41" ht="15" customHeight="1" x14ac:dyDescent="0.3">
      <c r="A80" s="87" t="s">
        <v>463</v>
      </c>
      <c r="B80" s="87"/>
      <c r="C80" s="87"/>
      <c r="D80" s="87"/>
      <c r="E80" s="87"/>
      <c r="F80" s="48">
        <f t="shared" ref="F80:AM80" si="7">SUM(F77,F78,F79)</f>
        <v>290</v>
      </c>
      <c r="G80" s="49">
        <f t="shared" si="7"/>
        <v>126.65</v>
      </c>
      <c r="H80" s="49">
        <f t="shared" si="7"/>
        <v>118.36999999999999</v>
      </c>
      <c r="I80" s="49">
        <f t="shared" si="7"/>
        <v>129.97</v>
      </c>
      <c r="J80" s="49">
        <f t="shared" si="7"/>
        <v>124.38</v>
      </c>
      <c r="K80" s="49">
        <f t="shared" si="7"/>
        <v>117.10000000000001</v>
      </c>
      <c r="L80" s="49">
        <f t="shared" si="7"/>
        <v>124.66</v>
      </c>
      <c r="M80" s="49">
        <f t="shared" si="7"/>
        <v>131.85999999999999</v>
      </c>
      <c r="N80" s="49">
        <f t="shared" si="7"/>
        <v>118.58</v>
      </c>
      <c r="O80" s="49">
        <f t="shared" si="7"/>
        <v>107.21</v>
      </c>
      <c r="P80" s="49">
        <f t="shared" si="7"/>
        <v>116.10000000000001</v>
      </c>
      <c r="Q80" s="49">
        <f t="shared" si="7"/>
        <v>117.85999999999999</v>
      </c>
      <c r="R80" s="49">
        <f t="shared" si="7"/>
        <v>127.65</v>
      </c>
      <c r="S80" s="49">
        <f t="shared" si="7"/>
        <v>147.80000000000001</v>
      </c>
      <c r="T80" s="49">
        <f t="shared" si="7"/>
        <v>118.85</v>
      </c>
      <c r="U80" s="49">
        <f t="shared" si="7"/>
        <v>119.32999999999998</v>
      </c>
      <c r="V80" s="49">
        <f t="shared" si="7"/>
        <v>138.63999999999999</v>
      </c>
      <c r="W80" s="49">
        <f t="shared" si="7"/>
        <v>119.11000000000001</v>
      </c>
      <c r="X80" s="49">
        <f t="shared" si="7"/>
        <v>120.20999999999998</v>
      </c>
      <c r="Y80" s="49">
        <f t="shared" si="7"/>
        <v>128.84</v>
      </c>
      <c r="Z80" s="49">
        <f t="shared" si="7"/>
        <v>132.54</v>
      </c>
      <c r="AA80" s="49">
        <f t="shared" si="7"/>
        <v>121.22</v>
      </c>
      <c r="AB80" s="49">
        <f t="shared" si="7"/>
        <v>121.38</v>
      </c>
      <c r="AC80" s="49">
        <f t="shared" si="7"/>
        <v>139.05000000000001</v>
      </c>
      <c r="AD80" s="49">
        <f t="shared" si="7"/>
        <v>129.81</v>
      </c>
      <c r="AE80" s="49">
        <f t="shared" si="7"/>
        <v>121.85</v>
      </c>
      <c r="AF80" s="49">
        <f t="shared" si="7"/>
        <v>120.72000000000001</v>
      </c>
      <c r="AG80" s="49">
        <f t="shared" si="7"/>
        <v>131.43</v>
      </c>
      <c r="AH80" s="49">
        <f t="shared" si="7"/>
        <v>131.67000000000002</v>
      </c>
      <c r="AI80" s="49">
        <f t="shared" si="7"/>
        <v>134.35</v>
      </c>
      <c r="AJ80" s="49">
        <f t="shared" si="7"/>
        <v>126.17000000000002</v>
      </c>
      <c r="AK80" s="49">
        <f t="shared" si="7"/>
        <v>135.45999999999998</v>
      </c>
      <c r="AL80" s="49">
        <f t="shared" si="7"/>
        <v>134.81</v>
      </c>
      <c r="AM80" s="49">
        <f t="shared" si="7"/>
        <v>131.32999999999998</v>
      </c>
      <c r="AN80" s="49">
        <f t="shared" si="4"/>
        <v>126.2109090909091</v>
      </c>
    </row>
    <row r="81" spans="1:40" ht="15" customHeight="1" x14ac:dyDescent="0.3">
      <c r="A81" s="88" t="s">
        <v>464</v>
      </c>
      <c r="B81" s="88"/>
      <c r="C81" s="88"/>
      <c r="D81" s="88"/>
      <c r="E81" s="88"/>
      <c r="F81" s="46">
        <f t="shared" ref="F81:AM81" si="8">SUM(F25:F32)</f>
        <v>60</v>
      </c>
      <c r="G81" s="47">
        <f t="shared" si="8"/>
        <v>36.159999999999997</v>
      </c>
      <c r="H81" s="47">
        <f t="shared" si="8"/>
        <v>46.649999999999991</v>
      </c>
      <c r="I81" s="47">
        <f t="shared" si="8"/>
        <v>46.860000000000007</v>
      </c>
      <c r="J81" s="47">
        <f t="shared" si="8"/>
        <v>47.960000000000008</v>
      </c>
      <c r="K81" s="47">
        <f t="shared" si="8"/>
        <v>47.699999999999996</v>
      </c>
      <c r="L81" s="47">
        <f t="shared" si="8"/>
        <v>43.87</v>
      </c>
      <c r="M81" s="47">
        <f t="shared" si="8"/>
        <v>44.97</v>
      </c>
      <c r="N81" s="47">
        <f t="shared" si="8"/>
        <v>47.88000000000001</v>
      </c>
      <c r="O81" s="47">
        <f t="shared" si="8"/>
        <v>46.480000000000004</v>
      </c>
      <c r="P81" s="47">
        <f t="shared" si="8"/>
        <v>43.959999999999994</v>
      </c>
      <c r="Q81" s="47">
        <f t="shared" si="8"/>
        <v>46.689999999999991</v>
      </c>
      <c r="R81" s="47">
        <f t="shared" si="8"/>
        <v>45.769999999999996</v>
      </c>
      <c r="S81" s="47">
        <f t="shared" si="8"/>
        <v>40.78</v>
      </c>
      <c r="T81" s="47">
        <f t="shared" si="8"/>
        <v>45.54</v>
      </c>
      <c r="U81" s="47">
        <f t="shared" si="8"/>
        <v>40.83</v>
      </c>
      <c r="V81" s="47">
        <f t="shared" si="8"/>
        <v>42.36</v>
      </c>
      <c r="W81" s="47">
        <f t="shared" si="8"/>
        <v>43.96</v>
      </c>
      <c r="X81" s="47">
        <f t="shared" si="8"/>
        <v>46.85</v>
      </c>
      <c r="Y81" s="47">
        <f t="shared" si="8"/>
        <v>48.1</v>
      </c>
      <c r="Z81" s="47">
        <f t="shared" si="8"/>
        <v>46.250000000000007</v>
      </c>
      <c r="AA81" s="47">
        <f t="shared" si="8"/>
        <v>47.260000000000005</v>
      </c>
      <c r="AB81" s="47">
        <f t="shared" si="8"/>
        <v>50.97</v>
      </c>
      <c r="AC81" s="47">
        <f t="shared" si="8"/>
        <v>47.26</v>
      </c>
      <c r="AD81" s="47">
        <f t="shared" si="8"/>
        <v>47.589999999999996</v>
      </c>
      <c r="AE81" s="47">
        <f t="shared" si="8"/>
        <v>47.680000000000007</v>
      </c>
      <c r="AF81" s="47">
        <f t="shared" si="8"/>
        <v>45.620000000000005</v>
      </c>
      <c r="AG81" s="47">
        <f t="shared" si="8"/>
        <v>40.69</v>
      </c>
      <c r="AH81" s="47">
        <f t="shared" si="8"/>
        <v>47.540000000000006</v>
      </c>
      <c r="AI81" s="47">
        <f t="shared" si="8"/>
        <v>39.959999999999994</v>
      </c>
      <c r="AJ81" s="47">
        <f t="shared" si="8"/>
        <v>47.199999999999996</v>
      </c>
      <c r="AK81" s="47">
        <f t="shared" si="8"/>
        <v>48.120000000000005</v>
      </c>
      <c r="AL81" s="47">
        <f t="shared" si="8"/>
        <v>43.540000000000006</v>
      </c>
      <c r="AM81" s="47">
        <f t="shared" si="8"/>
        <v>44.64</v>
      </c>
      <c r="AN81" s="47">
        <f t="shared" si="4"/>
        <v>45.38454545454546</v>
      </c>
    </row>
    <row r="82" spans="1:40" ht="15" customHeight="1" x14ac:dyDescent="0.3">
      <c r="A82" s="88" t="s">
        <v>465</v>
      </c>
      <c r="B82" s="88"/>
      <c r="C82" s="88"/>
      <c r="D82" s="88"/>
      <c r="E82" s="88"/>
      <c r="F82" s="46">
        <f t="shared" ref="F82:AM82" si="9">SUM(F33:F43)</f>
        <v>30</v>
      </c>
      <c r="G82" s="47">
        <f t="shared" si="9"/>
        <v>21.279999999999998</v>
      </c>
      <c r="H82" s="47">
        <f t="shared" si="9"/>
        <v>22.209999999999997</v>
      </c>
      <c r="I82" s="47">
        <f t="shared" si="9"/>
        <v>21.45</v>
      </c>
      <c r="J82" s="47">
        <f t="shared" si="9"/>
        <v>20.599999999999998</v>
      </c>
      <c r="K82" s="47">
        <f t="shared" si="9"/>
        <v>20.669999999999998</v>
      </c>
      <c r="L82" s="47">
        <f t="shared" si="9"/>
        <v>20.700000000000003</v>
      </c>
      <c r="M82" s="47">
        <f t="shared" si="9"/>
        <v>21.4</v>
      </c>
      <c r="N82" s="47">
        <f t="shared" si="9"/>
        <v>23.27</v>
      </c>
      <c r="O82" s="47">
        <f t="shared" si="9"/>
        <v>20.099999999999998</v>
      </c>
      <c r="P82" s="47">
        <f t="shared" si="9"/>
        <v>20.469999999999995</v>
      </c>
      <c r="Q82" s="47">
        <f t="shared" si="9"/>
        <v>22.18</v>
      </c>
      <c r="R82" s="47">
        <f t="shared" si="9"/>
        <v>22.06</v>
      </c>
      <c r="S82" s="47">
        <f t="shared" si="9"/>
        <v>20.5</v>
      </c>
      <c r="T82" s="47">
        <f t="shared" si="9"/>
        <v>22.280000000000005</v>
      </c>
      <c r="U82" s="47">
        <f t="shared" si="9"/>
        <v>21.68</v>
      </c>
      <c r="V82" s="47">
        <f t="shared" si="9"/>
        <v>21.470000000000002</v>
      </c>
      <c r="W82" s="47">
        <f t="shared" si="9"/>
        <v>21.240000000000002</v>
      </c>
      <c r="X82" s="47">
        <f t="shared" si="9"/>
        <v>20.650000000000002</v>
      </c>
      <c r="Y82" s="47">
        <f t="shared" si="9"/>
        <v>20.48</v>
      </c>
      <c r="Z82" s="47">
        <f t="shared" si="9"/>
        <v>21.63</v>
      </c>
      <c r="AA82" s="47">
        <f t="shared" si="9"/>
        <v>21.91</v>
      </c>
      <c r="AB82" s="47">
        <f t="shared" si="9"/>
        <v>21.32</v>
      </c>
      <c r="AC82" s="47">
        <f t="shared" si="9"/>
        <v>21.770000000000003</v>
      </c>
      <c r="AD82" s="47">
        <f t="shared" si="9"/>
        <v>20.169999999999998</v>
      </c>
      <c r="AE82" s="47">
        <f t="shared" si="9"/>
        <v>21.430000000000003</v>
      </c>
      <c r="AF82" s="47">
        <f t="shared" si="9"/>
        <v>22.27</v>
      </c>
      <c r="AG82" s="47">
        <f t="shared" si="9"/>
        <v>21.660000000000004</v>
      </c>
      <c r="AH82" s="47">
        <f t="shared" si="9"/>
        <v>20.930000000000003</v>
      </c>
      <c r="AI82" s="47">
        <f t="shared" si="9"/>
        <v>21.63</v>
      </c>
      <c r="AJ82" s="47">
        <f t="shared" si="9"/>
        <v>21.75</v>
      </c>
      <c r="AK82" s="47">
        <f t="shared" si="9"/>
        <v>21.9</v>
      </c>
      <c r="AL82" s="47">
        <f t="shared" si="9"/>
        <v>22.610000000000003</v>
      </c>
      <c r="AM82" s="47">
        <f t="shared" si="9"/>
        <v>21.25</v>
      </c>
      <c r="AN82" s="47">
        <f t="shared" si="4"/>
        <v>21.421818181818182</v>
      </c>
    </row>
    <row r="83" spans="1:40" ht="15" customHeight="1" x14ac:dyDescent="0.3">
      <c r="A83" s="87" t="s">
        <v>466</v>
      </c>
      <c r="B83" s="87"/>
      <c r="C83" s="87"/>
      <c r="D83" s="87"/>
      <c r="E83" s="87"/>
      <c r="F83" s="48">
        <f t="shared" ref="F83:AM83" si="10">SUM(F81,F82)</f>
        <v>90</v>
      </c>
      <c r="G83" s="49">
        <f t="shared" si="10"/>
        <v>57.44</v>
      </c>
      <c r="H83" s="49">
        <f t="shared" si="10"/>
        <v>68.859999999999985</v>
      </c>
      <c r="I83" s="49">
        <f t="shared" si="10"/>
        <v>68.31</v>
      </c>
      <c r="J83" s="49">
        <f t="shared" si="10"/>
        <v>68.56</v>
      </c>
      <c r="K83" s="49">
        <f t="shared" si="10"/>
        <v>68.36999999999999</v>
      </c>
      <c r="L83" s="49">
        <f t="shared" si="10"/>
        <v>64.569999999999993</v>
      </c>
      <c r="M83" s="49">
        <f t="shared" si="10"/>
        <v>66.37</v>
      </c>
      <c r="N83" s="49">
        <f t="shared" si="10"/>
        <v>71.150000000000006</v>
      </c>
      <c r="O83" s="49">
        <f t="shared" si="10"/>
        <v>66.58</v>
      </c>
      <c r="P83" s="49">
        <f t="shared" si="10"/>
        <v>64.429999999999993</v>
      </c>
      <c r="Q83" s="49">
        <f t="shared" si="10"/>
        <v>68.86999999999999</v>
      </c>
      <c r="R83" s="49">
        <f t="shared" si="10"/>
        <v>67.83</v>
      </c>
      <c r="S83" s="49">
        <f t="shared" si="10"/>
        <v>61.28</v>
      </c>
      <c r="T83" s="49">
        <f t="shared" si="10"/>
        <v>67.820000000000007</v>
      </c>
      <c r="U83" s="49">
        <f t="shared" si="10"/>
        <v>62.51</v>
      </c>
      <c r="V83" s="49">
        <f t="shared" si="10"/>
        <v>63.83</v>
      </c>
      <c r="W83" s="49">
        <f t="shared" si="10"/>
        <v>65.2</v>
      </c>
      <c r="X83" s="49">
        <f t="shared" si="10"/>
        <v>67.5</v>
      </c>
      <c r="Y83" s="49">
        <f t="shared" si="10"/>
        <v>68.58</v>
      </c>
      <c r="Z83" s="49">
        <f t="shared" si="10"/>
        <v>67.88000000000001</v>
      </c>
      <c r="AA83" s="49">
        <f t="shared" si="10"/>
        <v>69.17</v>
      </c>
      <c r="AB83" s="49">
        <f t="shared" si="10"/>
        <v>72.289999999999992</v>
      </c>
      <c r="AC83" s="49">
        <f t="shared" si="10"/>
        <v>69.03</v>
      </c>
      <c r="AD83" s="49">
        <f t="shared" si="10"/>
        <v>67.759999999999991</v>
      </c>
      <c r="AE83" s="49">
        <f t="shared" si="10"/>
        <v>69.110000000000014</v>
      </c>
      <c r="AF83" s="49">
        <f t="shared" si="10"/>
        <v>67.89</v>
      </c>
      <c r="AG83" s="49">
        <f t="shared" si="10"/>
        <v>62.35</v>
      </c>
      <c r="AH83" s="49">
        <f t="shared" si="10"/>
        <v>68.470000000000013</v>
      </c>
      <c r="AI83" s="49">
        <f t="shared" si="10"/>
        <v>61.589999999999989</v>
      </c>
      <c r="AJ83" s="49">
        <f t="shared" si="10"/>
        <v>68.949999999999989</v>
      </c>
      <c r="AK83" s="49">
        <f t="shared" si="10"/>
        <v>70.02000000000001</v>
      </c>
      <c r="AL83" s="49">
        <f t="shared" si="10"/>
        <v>66.150000000000006</v>
      </c>
      <c r="AM83" s="49">
        <f t="shared" si="10"/>
        <v>65.89</v>
      </c>
      <c r="AN83" s="49">
        <f t="shared" si="4"/>
        <v>66.806363636363642</v>
      </c>
    </row>
    <row r="84" spans="1:40" ht="15" customHeight="1" x14ac:dyDescent="0.3">
      <c r="A84" s="88" t="s">
        <v>467</v>
      </c>
      <c r="B84" s="88"/>
      <c r="C84" s="88"/>
      <c r="D84" s="88"/>
      <c r="E84" s="88"/>
      <c r="F84" s="46">
        <f t="shared" ref="F84:AM84" si="11">SUM(F44:F54)</f>
        <v>51</v>
      </c>
      <c r="G84" s="47">
        <f t="shared" si="11"/>
        <v>33.07</v>
      </c>
      <c r="H84" s="47">
        <f t="shared" si="11"/>
        <v>34.519999999999996</v>
      </c>
      <c r="I84" s="47">
        <f t="shared" si="11"/>
        <v>36.97</v>
      </c>
      <c r="J84" s="47">
        <f t="shared" si="11"/>
        <v>37.440000000000005</v>
      </c>
      <c r="K84" s="47">
        <f t="shared" si="11"/>
        <v>35.63000000000001</v>
      </c>
      <c r="L84" s="47">
        <f t="shared" si="11"/>
        <v>35.129999999999988</v>
      </c>
      <c r="M84" s="47">
        <f t="shared" si="11"/>
        <v>35.020000000000003</v>
      </c>
      <c r="N84" s="47">
        <f t="shared" si="11"/>
        <v>34.770000000000003</v>
      </c>
      <c r="O84" s="47">
        <f t="shared" si="11"/>
        <v>34.08</v>
      </c>
      <c r="P84" s="47">
        <f t="shared" si="11"/>
        <v>31.200000000000003</v>
      </c>
      <c r="Q84" s="47">
        <f t="shared" si="11"/>
        <v>36.450000000000003</v>
      </c>
      <c r="R84" s="47">
        <f t="shared" si="11"/>
        <v>34.330000000000005</v>
      </c>
      <c r="S84" s="47">
        <f t="shared" si="11"/>
        <v>34.92</v>
      </c>
      <c r="T84" s="47">
        <f t="shared" si="11"/>
        <v>34.160000000000004</v>
      </c>
      <c r="U84" s="47">
        <f t="shared" si="11"/>
        <v>30.899999999999995</v>
      </c>
      <c r="V84" s="47">
        <f t="shared" si="11"/>
        <v>34.620000000000005</v>
      </c>
      <c r="W84" s="47">
        <f t="shared" si="11"/>
        <v>32.99</v>
      </c>
      <c r="X84" s="47">
        <f t="shared" si="11"/>
        <v>37.28</v>
      </c>
      <c r="Y84" s="47">
        <f t="shared" si="11"/>
        <v>36.06</v>
      </c>
      <c r="Z84" s="47">
        <f t="shared" si="11"/>
        <v>37.94</v>
      </c>
      <c r="AA84" s="47">
        <f t="shared" si="11"/>
        <v>35.29</v>
      </c>
      <c r="AB84" s="47">
        <f t="shared" si="11"/>
        <v>36.799999999999997</v>
      </c>
      <c r="AC84" s="47">
        <f t="shared" si="11"/>
        <v>37</v>
      </c>
      <c r="AD84" s="47">
        <f t="shared" si="11"/>
        <v>34.99</v>
      </c>
      <c r="AE84" s="47">
        <f t="shared" si="11"/>
        <v>36.47</v>
      </c>
      <c r="AF84" s="47">
        <f t="shared" si="11"/>
        <v>34.04</v>
      </c>
      <c r="AG84" s="47">
        <f t="shared" si="11"/>
        <v>33.600000000000009</v>
      </c>
      <c r="AH84" s="47">
        <f t="shared" si="11"/>
        <v>38.08</v>
      </c>
      <c r="AI84" s="47">
        <f t="shared" si="11"/>
        <v>33.580000000000005</v>
      </c>
      <c r="AJ84" s="47">
        <f t="shared" si="11"/>
        <v>34.5</v>
      </c>
      <c r="AK84" s="47">
        <f t="shared" si="11"/>
        <v>37.96</v>
      </c>
      <c r="AL84" s="47">
        <f t="shared" si="11"/>
        <v>35.86</v>
      </c>
      <c r="AM84" s="47">
        <f t="shared" si="11"/>
        <v>35.07</v>
      </c>
      <c r="AN84" s="47">
        <f t="shared" si="4"/>
        <v>35.173333333333325</v>
      </c>
    </row>
    <row r="85" spans="1:40" ht="15" customHeight="1" x14ac:dyDescent="0.3">
      <c r="A85" s="87" t="s">
        <v>468</v>
      </c>
      <c r="B85" s="87"/>
      <c r="C85" s="87"/>
      <c r="D85" s="87"/>
      <c r="E85" s="87"/>
      <c r="F85" s="48">
        <f t="shared" ref="F85:AM85" si="12">SUM(F84)</f>
        <v>51</v>
      </c>
      <c r="G85" s="49">
        <f t="shared" si="12"/>
        <v>33.07</v>
      </c>
      <c r="H85" s="49">
        <f t="shared" si="12"/>
        <v>34.519999999999996</v>
      </c>
      <c r="I85" s="49">
        <f t="shared" si="12"/>
        <v>36.97</v>
      </c>
      <c r="J85" s="49">
        <f t="shared" si="12"/>
        <v>37.440000000000005</v>
      </c>
      <c r="K85" s="49">
        <f t="shared" si="12"/>
        <v>35.63000000000001</v>
      </c>
      <c r="L85" s="49">
        <f t="shared" si="12"/>
        <v>35.129999999999988</v>
      </c>
      <c r="M85" s="49">
        <f t="shared" si="12"/>
        <v>35.020000000000003</v>
      </c>
      <c r="N85" s="49">
        <f t="shared" si="12"/>
        <v>34.770000000000003</v>
      </c>
      <c r="O85" s="49">
        <f t="shared" si="12"/>
        <v>34.08</v>
      </c>
      <c r="P85" s="49">
        <f t="shared" si="12"/>
        <v>31.200000000000003</v>
      </c>
      <c r="Q85" s="49">
        <f t="shared" si="12"/>
        <v>36.450000000000003</v>
      </c>
      <c r="R85" s="49">
        <f t="shared" si="12"/>
        <v>34.330000000000005</v>
      </c>
      <c r="S85" s="49">
        <f t="shared" si="12"/>
        <v>34.92</v>
      </c>
      <c r="T85" s="49">
        <f t="shared" si="12"/>
        <v>34.160000000000004</v>
      </c>
      <c r="U85" s="49">
        <f t="shared" si="12"/>
        <v>30.899999999999995</v>
      </c>
      <c r="V85" s="49">
        <f t="shared" si="12"/>
        <v>34.620000000000005</v>
      </c>
      <c r="W85" s="49">
        <f t="shared" si="12"/>
        <v>32.99</v>
      </c>
      <c r="X85" s="49">
        <f t="shared" si="12"/>
        <v>37.28</v>
      </c>
      <c r="Y85" s="49">
        <f t="shared" si="12"/>
        <v>36.06</v>
      </c>
      <c r="Z85" s="49">
        <f t="shared" si="12"/>
        <v>37.94</v>
      </c>
      <c r="AA85" s="49">
        <f t="shared" si="12"/>
        <v>35.29</v>
      </c>
      <c r="AB85" s="49">
        <f t="shared" si="12"/>
        <v>36.799999999999997</v>
      </c>
      <c r="AC85" s="49">
        <f t="shared" si="12"/>
        <v>37</v>
      </c>
      <c r="AD85" s="49">
        <f t="shared" si="12"/>
        <v>34.99</v>
      </c>
      <c r="AE85" s="49">
        <f t="shared" si="12"/>
        <v>36.47</v>
      </c>
      <c r="AF85" s="49">
        <f t="shared" si="12"/>
        <v>34.04</v>
      </c>
      <c r="AG85" s="49">
        <f t="shared" si="12"/>
        <v>33.600000000000009</v>
      </c>
      <c r="AH85" s="49">
        <f t="shared" si="12"/>
        <v>38.08</v>
      </c>
      <c r="AI85" s="49">
        <f t="shared" si="12"/>
        <v>33.580000000000005</v>
      </c>
      <c r="AJ85" s="49">
        <f t="shared" si="12"/>
        <v>34.5</v>
      </c>
      <c r="AK85" s="49">
        <f t="shared" si="12"/>
        <v>37.96</v>
      </c>
      <c r="AL85" s="49">
        <f t="shared" si="12"/>
        <v>35.86</v>
      </c>
      <c r="AM85" s="49">
        <f t="shared" si="12"/>
        <v>35.07</v>
      </c>
      <c r="AN85" s="49">
        <f t="shared" si="4"/>
        <v>35.173333333333325</v>
      </c>
    </row>
    <row r="86" spans="1:40" ht="15" customHeight="1" x14ac:dyDescent="0.3">
      <c r="A86" s="88" t="s">
        <v>469</v>
      </c>
      <c r="B86" s="88"/>
      <c r="C86" s="88"/>
      <c r="D86" s="88"/>
      <c r="E86" s="88"/>
      <c r="F86" s="46">
        <f t="shared" ref="F86:AM86" si="13">SUM(F55:F61)</f>
        <v>35</v>
      </c>
      <c r="G86" s="47">
        <f t="shared" si="13"/>
        <v>18.3</v>
      </c>
      <c r="H86" s="47">
        <f t="shared" si="13"/>
        <v>21.22</v>
      </c>
      <c r="I86" s="47">
        <f t="shared" si="13"/>
        <v>21.92</v>
      </c>
      <c r="J86" s="47">
        <f t="shared" si="13"/>
        <v>21.709999999999997</v>
      </c>
      <c r="K86" s="47">
        <f t="shared" si="13"/>
        <v>22.14</v>
      </c>
      <c r="L86" s="47">
        <f t="shared" si="13"/>
        <v>20.190000000000005</v>
      </c>
      <c r="M86" s="47">
        <f t="shared" si="13"/>
        <v>21.33</v>
      </c>
      <c r="N86" s="47">
        <f t="shared" si="13"/>
        <v>21.970000000000002</v>
      </c>
      <c r="O86" s="47">
        <f t="shared" si="13"/>
        <v>21.37</v>
      </c>
      <c r="P86" s="47">
        <f t="shared" si="13"/>
        <v>21.93</v>
      </c>
      <c r="Q86" s="47">
        <f t="shared" si="13"/>
        <v>23.23</v>
      </c>
      <c r="R86" s="47">
        <f t="shared" si="13"/>
        <v>22.69</v>
      </c>
      <c r="S86" s="47">
        <f t="shared" si="13"/>
        <v>19.689999999999998</v>
      </c>
      <c r="T86" s="47">
        <f t="shared" si="13"/>
        <v>22.34</v>
      </c>
      <c r="U86" s="47">
        <f t="shared" si="13"/>
        <v>20.71</v>
      </c>
      <c r="V86" s="47">
        <f t="shared" si="13"/>
        <v>20.700000000000003</v>
      </c>
      <c r="W86" s="47">
        <f t="shared" si="13"/>
        <v>20.86</v>
      </c>
      <c r="X86" s="47">
        <f t="shared" si="13"/>
        <v>20.58</v>
      </c>
      <c r="Y86" s="47">
        <f t="shared" si="13"/>
        <v>21.97</v>
      </c>
      <c r="Z86" s="47">
        <f t="shared" si="13"/>
        <v>21.860000000000003</v>
      </c>
      <c r="AA86" s="47">
        <f t="shared" si="13"/>
        <v>18.780000000000005</v>
      </c>
      <c r="AB86" s="47">
        <f t="shared" si="13"/>
        <v>23.85</v>
      </c>
      <c r="AC86" s="47">
        <f t="shared" si="13"/>
        <v>21.020000000000003</v>
      </c>
      <c r="AD86" s="47">
        <f t="shared" si="13"/>
        <v>22.04</v>
      </c>
      <c r="AE86" s="47">
        <f t="shared" si="13"/>
        <v>22.68</v>
      </c>
      <c r="AF86" s="47">
        <f t="shared" si="13"/>
        <v>20.96</v>
      </c>
      <c r="AG86" s="47">
        <f t="shared" si="13"/>
        <v>19.87</v>
      </c>
      <c r="AH86" s="47">
        <f t="shared" si="13"/>
        <v>21.769999999999996</v>
      </c>
      <c r="AI86" s="47">
        <f t="shared" si="13"/>
        <v>20.89</v>
      </c>
      <c r="AJ86" s="47">
        <f t="shared" si="13"/>
        <v>22.580000000000002</v>
      </c>
      <c r="AK86" s="47">
        <f t="shared" si="13"/>
        <v>23.490000000000002</v>
      </c>
      <c r="AL86" s="47">
        <f t="shared" si="13"/>
        <v>19.71</v>
      </c>
      <c r="AM86" s="47">
        <f t="shared" si="13"/>
        <v>20.709999999999997</v>
      </c>
      <c r="AN86" s="47">
        <f t="shared" si="4"/>
        <v>21.365454545454547</v>
      </c>
    </row>
    <row r="87" spans="1:40" ht="15" customHeight="1" x14ac:dyDescent="0.3">
      <c r="A87" s="87" t="s">
        <v>470</v>
      </c>
      <c r="B87" s="87"/>
      <c r="C87" s="87"/>
      <c r="D87" s="87"/>
      <c r="E87" s="87"/>
      <c r="F87" s="48">
        <f t="shared" ref="F87:AM87" si="14">SUM(F86)</f>
        <v>35</v>
      </c>
      <c r="G87" s="49">
        <f t="shared" si="14"/>
        <v>18.3</v>
      </c>
      <c r="H87" s="49">
        <f t="shared" si="14"/>
        <v>21.22</v>
      </c>
      <c r="I87" s="49">
        <f t="shared" si="14"/>
        <v>21.92</v>
      </c>
      <c r="J87" s="49">
        <f t="shared" si="14"/>
        <v>21.709999999999997</v>
      </c>
      <c r="K87" s="49">
        <f t="shared" si="14"/>
        <v>22.14</v>
      </c>
      <c r="L87" s="49">
        <f t="shared" si="14"/>
        <v>20.190000000000005</v>
      </c>
      <c r="M87" s="49">
        <f t="shared" si="14"/>
        <v>21.33</v>
      </c>
      <c r="N87" s="49">
        <f t="shared" si="14"/>
        <v>21.970000000000002</v>
      </c>
      <c r="O87" s="49">
        <f t="shared" si="14"/>
        <v>21.37</v>
      </c>
      <c r="P87" s="49">
        <f t="shared" si="14"/>
        <v>21.93</v>
      </c>
      <c r="Q87" s="49">
        <f t="shared" si="14"/>
        <v>23.23</v>
      </c>
      <c r="R87" s="49">
        <f t="shared" si="14"/>
        <v>22.69</v>
      </c>
      <c r="S87" s="49">
        <f t="shared" si="14"/>
        <v>19.689999999999998</v>
      </c>
      <c r="T87" s="49">
        <f t="shared" si="14"/>
        <v>22.34</v>
      </c>
      <c r="U87" s="49">
        <f t="shared" si="14"/>
        <v>20.71</v>
      </c>
      <c r="V87" s="49">
        <f t="shared" si="14"/>
        <v>20.700000000000003</v>
      </c>
      <c r="W87" s="49">
        <f t="shared" si="14"/>
        <v>20.86</v>
      </c>
      <c r="X87" s="49">
        <f t="shared" si="14"/>
        <v>20.58</v>
      </c>
      <c r="Y87" s="49">
        <f t="shared" si="14"/>
        <v>21.97</v>
      </c>
      <c r="Z87" s="49">
        <f t="shared" si="14"/>
        <v>21.860000000000003</v>
      </c>
      <c r="AA87" s="49">
        <f t="shared" si="14"/>
        <v>18.780000000000005</v>
      </c>
      <c r="AB87" s="49">
        <f t="shared" si="14"/>
        <v>23.85</v>
      </c>
      <c r="AC87" s="49">
        <f t="shared" si="14"/>
        <v>21.020000000000003</v>
      </c>
      <c r="AD87" s="49">
        <f t="shared" si="14"/>
        <v>22.04</v>
      </c>
      <c r="AE87" s="49">
        <f t="shared" si="14"/>
        <v>22.68</v>
      </c>
      <c r="AF87" s="49">
        <f t="shared" si="14"/>
        <v>20.96</v>
      </c>
      <c r="AG87" s="49">
        <f t="shared" si="14"/>
        <v>19.87</v>
      </c>
      <c r="AH87" s="49">
        <f t="shared" si="14"/>
        <v>21.769999999999996</v>
      </c>
      <c r="AI87" s="49">
        <f t="shared" si="14"/>
        <v>20.89</v>
      </c>
      <c r="AJ87" s="49">
        <f t="shared" si="14"/>
        <v>22.580000000000002</v>
      </c>
      <c r="AK87" s="49">
        <f t="shared" si="14"/>
        <v>23.490000000000002</v>
      </c>
      <c r="AL87" s="49">
        <f t="shared" si="14"/>
        <v>19.71</v>
      </c>
      <c r="AM87" s="49">
        <f t="shared" si="14"/>
        <v>20.709999999999997</v>
      </c>
      <c r="AN87" s="49">
        <f t="shared" si="4"/>
        <v>21.365454545454547</v>
      </c>
    </row>
    <row r="88" spans="1:40" ht="15" customHeight="1" x14ac:dyDescent="0.3">
      <c r="A88" s="88" t="s">
        <v>471</v>
      </c>
      <c r="B88" s="88"/>
      <c r="C88" s="88"/>
      <c r="D88" s="88"/>
      <c r="E88" s="88"/>
      <c r="F88" s="46">
        <f t="shared" ref="F88:AM88" si="15">SUM(F62:F66)</f>
        <v>50</v>
      </c>
      <c r="G88" s="47">
        <f t="shared" si="15"/>
        <v>31.29</v>
      </c>
      <c r="H88" s="47">
        <f t="shared" si="15"/>
        <v>33.950000000000003</v>
      </c>
      <c r="I88" s="47">
        <f t="shared" si="15"/>
        <v>32.480000000000004</v>
      </c>
      <c r="J88" s="47">
        <f t="shared" si="15"/>
        <v>29.68</v>
      </c>
      <c r="K88" s="47">
        <f t="shared" si="15"/>
        <v>32.56</v>
      </c>
      <c r="L88" s="47">
        <f t="shared" si="15"/>
        <v>30.529999999999994</v>
      </c>
      <c r="M88" s="47">
        <f t="shared" si="15"/>
        <v>34.369999999999997</v>
      </c>
      <c r="N88" s="47">
        <f t="shared" si="15"/>
        <v>35.01</v>
      </c>
      <c r="O88" s="47">
        <f t="shared" si="15"/>
        <v>30.040000000000003</v>
      </c>
      <c r="P88" s="47">
        <f t="shared" si="15"/>
        <v>29.27</v>
      </c>
      <c r="Q88" s="47">
        <f t="shared" si="15"/>
        <v>26.39</v>
      </c>
      <c r="R88" s="47">
        <f t="shared" si="15"/>
        <v>32.22</v>
      </c>
      <c r="S88" s="47">
        <f t="shared" si="15"/>
        <v>32.980000000000004</v>
      </c>
      <c r="T88" s="47">
        <f t="shared" si="15"/>
        <v>32.099999999999994</v>
      </c>
      <c r="U88" s="47">
        <f t="shared" si="15"/>
        <v>31.740000000000002</v>
      </c>
      <c r="V88" s="47">
        <f t="shared" si="15"/>
        <v>30.479999999999997</v>
      </c>
      <c r="W88" s="47">
        <f t="shared" si="15"/>
        <v>32.68</v>
      </c>
      <c r="X88" s="47">
        <f t="shared" si="15"/>
        <v>33.599999999999994</v>
      </c>
      <c r="Y88" s="47">
        <f t="shared" si="15"/>
        <v>28.78</v>
      </c>
      <c r="Z88" s="47">
        <f t="shared" si="15"/>
        <v>33.69</v>
      </c>
      <c r="AA88" s="47">
        <f t="shared" si="15"/>
        <v>32.049999999999997</v>
      </c>
      <c r="AB88" s="47">
        <f t="shared" si="15"/>
        <v>29.549999999999997</v>
      </c>
      <c r="AC88" s="47">
        <f t="shared" si="15"/>
        <v>32.409999999999997</v>
      </c>
      <c r="AD88" s="47">
        <f t="shared" si="15"/>
        <v>30.650000000000002</v>
      </c>
      <c r="AE88" s="47">
        <f t="shared" si="15"/>
        <v>32.33</v>
      </c>
      <c r="AF88" s="47">
        <f t="shared" si="15"/>
        <v>32.25</v>
      </c>
      <c r="AG88" s="47">
        <f t="shared" si="15"/>
        <v>32.540000000000006</v>
      </c>
      <c r="AH88" s="47">
        <f t="shared" si="15"/>
        <v>31.18</v>
      </c>
      <c r="AI88" s="47">
        <f t="shared" si="15"/>
        <v>32.44</v>
      </c>
      <c r="AJ88" s="47">
        <f t="shared" si="15"/>
        <v>34.28</v>
      </c>
      <c r="AK88" s="47">
        <f t="shared" si="15"/>
        <v>28.68</v>
      </c>
      <c r="AL88" s="47">
        <f t="shared" si="15"/>
        <v>31.770000000000003</v>
      </c>
      <c r="AM88" s="47">
        <f t="shared" si="15"/>
        <v>29.96</v>
      </c>
      <c r="AN88" s="47">
        <f t="shared" si="4"/>
        <v>31.634242424242412</v>
      </c>
    </row>
    <row r="89" spans="1:40" ht="15" customHeight="1" x14ac:dyDescent="0.3">
      <c r="A89" s="87" t="s">
        <v>472</v>
      </c>
      <c r="B89" s="87"/>
      <c r="C89" s="87"/>
      <c r="D89" s="87"/>
      <c r="E89" s="87"/>
      <c r="F89" s="48">
        <f t="shared" ref="F89:AM89" si="16">SUM(F88)</f>
        <v>50</v>
      </c>
      <c r="G89" s="49">
        <f t="shared" si="16"/>
        <v>31.29</v>
      </c>
      <c r="H89" s="49">
        <f t="shared" si="16"/>
        <v>33.950000000000003</v>
      </c>
      <c r="I89" s="49">
        <f t="shared" si="16"/>
        <v>32.480000000000004</v>
      </c>
      <c r="J89" s="49">
        <f t="shared" si="16"/>
        <v>29.68</v>
      </c>
      <c r="K89" s="49">
        <f t="shared" si="16"/>
        <v>32.56</v>
      </c>
      <c r="L89" s="49">
        <f t="shared" si="16"/>
        <v>30.529999999999994</v>
      </c>
      <c r="M89" s="49">
        <f t="shared" si="16"/>
        <v>34.369999999999997</v>
      </c>
      <c r="N89" s="49">
        <f t="shared" si="16"/>
        <v>35.01</v>
      </c>
      <c r="O89" s="49">
        <f t="shared" si="16"/>
        <v>30.040000000000003</v>
      </c>
      <c r="P89" s="49">
        <f t="shared" si="16"/>
        <v>29.27</v>
      </c>
      <c r="Q89" s="49">
        <f t="shared" si="16"/>
        <v>26.39</v>
      </c>
      <c r="R89" s="49">
        <f t="shared" si="16"/>
        <v>32.22</v>
      </c>
      <c r="S89" s="49">
        <f t="shared" si="16"/>
        <v>32.980000000000004</v>
      </c>
      <c r="T89" s="49">
        <f t="shared" si="16"/>
        <v>32.099999999999994</v>
      </c>
      <c r="U89" s="49">
        <f t="shared" si="16"/>
        <v>31.740000000000002</v>
      </c>
      <c r="V89" s="49">
        <f t="shared" si="16"/>
        <v>30.479999999999997</v>
      </c>
      <c r="W89" s="49">
        <f t="shared" si="16"/>
        <v>32.68</v>
      </c>
      <c r="X89" s="49">
        <f t="shared" si="16"/>
        <v>33.599999999999994</v>
      </c>
      <c r="Y89" s="49">
        <f t="shared" si="16"/>
        <v>28.78</v>
      </c>
      <c r="Z89" s="49">
        <f t="shared" si="16"/>
        <v>33.69</v>
      </c>
      <c r="AA89" s="49">
        <f t="shared" si="16"/>
        <v>32.049999999999997</v>
      </c>
      <c r="AB89" s="49">
        <f t="shared" si="16"/>
        <v>29.549999999999997</v>
      </c>
      <c r="AC89" s="49">
        <f t="shared" si="16"/>
        <v>32.409999999999997</v>
      </c>
      <c r="AD89" s="49">
        <f t="shared" si="16"/>
        <v>30.650000000000002</v>
      </c>
      <c r="AE89" s="49">
        <f t="shared" si="16"/>
        <v>32.33</v>
      </c>
      <c r="AF89" s="49">
        <f t="shared" si="16"/>
        <v>32.25</v>
      </c>
      <c r="AG89" s="49">
        <f t="shared" si="16"/>
        <v>32.540000000000006</v>
      </c>
      <c r="AH89" s="49">
        <f t="shared" si="16"/>
        <v>31.18</v>
      </c>
      <c r="AI89" s="49">
        <f t="shared" si="16"/>
        <v>32.44</v>
      </c>
      <c r="AJ89" s="49">
        <f t="shared" si="16"/>
        <v>34.28</v>
      </c>
      <c r="AK89" s="49">
        <f t="shared" si="16"/>
        <v>28.68</v>
      </c>
      <c r="AL89" s="49">
        <f t="shared" si="16"/>
        <v>31.770000000000003</v>
      </c>
      <c r="AM89" s="49">
        <f t="shared" si="16"/>
        <v>29.96</v>
      </c>
      <c r="AN89" s="49">
        <f t="shared" si="4"/>
        <v>31.634242424242412</v>
      </c>
    </row>
    <row r="90" spans="1:40" ht="15" customHeight="1" x14ac:dyDescent="0.3">
      <c r="A90" s="88" t="s">
        <v>473</v>
      </c>
      <c r="B90" s="88"/>
      <c r="C90" s="88"/>
      <c r="D90" s="88"/>
      <c r="E90" s="88"/>
      <c r="F90" s="46">
        <f t="shared" ref="F90:AM90" si="17">SUM(F67:F73)</f>
        <v>84</v>
      </c>
      <c r="G90" s="47">
        <f t="shared" si="17"/>
        <v>42.07</v>
      </c>
      <c r="H90" s="47">
        <f t="shared" si="17"/>
        <v>38.480000000000004</v>
      </c>
      <c r="I90" s="47">
        <f t="shared" si="17"/>
        <v>45.72</v>
      </c>
      <c r="J90" s="47">
        <f t="shared" si="17"/>
        <v>39.21</v>
      </c>
      <c r="K90" s="47">
        <f t="shared" si="17"/>
        <v>43.44</v>
      </c>
      <c r="L90" s="47">
        <f t="shared" si="17"/>
        <v>43.03</v>
      </c>
      <c r="M90" s="47">
        <f t="shared" si="17"/>
        <v>45.349999999999994</v>
      </c>
      <c r="N90" s="47">
        <f t="shared" si="17"/>
        <v>40.53</v>
      </c>
      <c r="O90" s="47">
        <f t="shared" si="17"/>
        <v>41.68</v>
      </c>
      <c r="P90" s="47">
        <f t="shared" si="17"/>
        <v>42.74</v>
      </c>
      <c r="Q90" s="47">
        <f t="shared" si="17"/>
        <v>41.71</v>
      </c>
      <c r="R90" s="47">
        <f t="shared" si="17"/>
        <v>46.04</v>
      </c>
      <c r="S90" s="47">
        <f t="shared" si="17"/>
        <v>41.63</v>
      </c>
      <c r="T90" s="47">
        <f t="shared" si="17"/>
        <v>46.05</v>
      </c>
      <c r="U90" s="47">
        <f t="shared" si="17"/>
        <v>44.830000000000005</v>
      </c>
      <c r="V90" s="47">
        <f t="shared" si="17"/>
        <v>48.36</v>
      </c>
      <c r="W90" s="47">
        <f t="shared" si="17"/>
        <v>42.84</v>
      </c>
      <c r="X90" s="47">
        <f t="shared" si="17"/>
        <v>42.629999999999995</v>
      </c>
      <c r="Y90" s="47">
        <f t="shared" si="17"/>
        <v>43.29</v>
      </c>
      <c r="Z90" s="47">
        <f t="shared" si="17"/>
        <v>44.84</v>
      </c>
      <c r="AA90" s="47">
        <f t="shared" si="17"/>
        <v>42.81</v>
      </c>
      <c r="AB90" s="47">
        <f t="shared" si="17"/>
        <v>43.16</v>
      </c>
      <c r="AC90" s="47">
        <f t="shared" si="17"/>
        <v>46.910000000000004</v>
      </c>
      <c r="AD90" s="47">
        <f t="shared" si="17"/>
        <v>41.849999999999994</v>
      </c>
      <c r="AE90" s="47">
        <f t="shared" si="17"/>
        <v>41.41</v>
      </c>
      <c r="AF90" s="47">
        <f t="shared" si="17"/>
        <v>45.17</v>
      </c>
      <c r="AG90" s="47">
        <f t="shared" si="17"/>
        <v>42.39</v>
      </c>
      <c r="AH90" s="47">
        <f t="shared" si="17"/>
        <v>40.47</v>
      </c>
      <c r="AI90" s="47">
        <f t="shared" si="17"/>
        <v>44.12</v>
      </c>
      <c r="AJ90" s="47">
        <f t="shared" si="17"/>
        <v>44.32</v>
      </c>
      <c r="AK90" s="47">
        <f t="shared" si="17"/>
        <v>47.320000000000007</v>
      </c>
      <c r="AL90" s="47">
        <f t="shared" si="17"/>
        <v>45.029999999999994</v>
      </c>
      <c r="AM90" s="47">
        <f t="shared" si="17"/>
        <v>43.25</v>
      </c>
      <c r="AN90" s="47">
        <f t="shared" si="4"/>
        <v>43.414545454545454</v>
      </c>
    </row>
    <row r="91" spans="1:40" ht="15" customHeight="1" x14ac:dyDescent="0.3">
      <c r="A91" s="87" t="s">
        <v>474</v>
      </c>
      <c r="B91" s="87"/>
      <c r="C91" s="87"/>
      <c r="D91" s="87"/>
      <c r="E91" s="87"/>
      <c r="F91" s="48">
        <f t="shared" ref="F91:AM91" si="18">SUM(F90)</f>
        <v>84</v>
      </c>
      <c r="G91" s="49">
        <f t="shared" si="18"/>
        <v>42.07</v>
      </c>
      <c r="H91" s="49">
        <f t="shared" si="18"/>
        <v>38.480000000000004</v>
      </c>
      <c r="I91" s="49">
        <f t="shared" si="18"/>
        <v>45.72</v>
      </c>
      <c r="J91" s="49">
        <f t="shared" si="18"/>
        <v>39.21</v>
      </c>
      <c r="K91" s="49">
        <f t="shared" si="18"/>
        <v>43.44</v>
      </c>
      <c r="L91" s="49">
        <f t="shared" si="18"/>
        <v>43.03</v>
      </c>
      <c r="M91" s="49">
        <f t="shared" si="18"/>
        <v>45.349999999999994</v>
      </c>
      <c r="N91" s="49">
        <f t="shared" si="18"/>
        <v>40.53</v>
      </c>
      <c r="O91" s="49">
        <f t="shared" si="18"/>
        <v>41.68</v>
      </c>
      <c r="P91" s="49">
        <f t="shared" si="18"/>
        <v>42.74</v>
      </c>
      <c r="Q91" s="49">
        <f t="shared" si="18"/>
        <v>41.71</v>
      </c>
      <c r="R91" s="49">
        <f t="shared" si="18"/>
        <v>46.04</v>
      </c>
      <c r="S91" s="49">
        <f t="shared" si="18"/>
        <v>41.63</v>
      </c>
      <c r="T91" s="49">
        <f t="shared" si="18"/>
        <v>46.05</v>
      </c>
      <c r="U91" s="49">
        <f t="shared" si="18"/>
        <v>44.830000000000005</v>
      </c>
      <c r="V91" s="49">
        <f t="shared" si="18"/>
        <v>48.36</v>
      </c>
      <c r="W91" s="49">
        <f t="shared" si="18"/>
        <v>42.84</v>
      </c>
      <c r="X91" s="49">
        <f t="shared" si="18"/>
        <v>42.629999999999995</v>
      </c>
      <c r="Y91" s="49">
        <f t="shared" si="18"/>
        <v>43.29</v>
      </c>
      <c r="Z91" s="49">
        <f t="shared" si="18"/>
        <v>44.84</v>
      </c>
      <c r="AA91" s="49">
        <f t="shared" si="18"/>
        <v>42.81</v>
      </c>
      <c r="AB91" s="49">
        <f t="shared" si="18"/>
        <v>43.16</v>
      </c>
      <c r="AC91" s="49">
        <f t="shared" si="18"/>
        <v>46.910000000000004</v>
      </c>
      <c r="AD91" s="49">
        <f t="shared" si="18"/>
        <v>41.849999999999994</v>
      </c>
      <c r="AE91" s="49">
        <f t="shared" si="18"/>
        <v>41.41</v>
      </c>
      <c r="AF91" s="49">
        <f t="shared" si="18"/>
        <v>45.17</v>
      </c>
      <c r="AG91" s="49">
        <f t="shared" si="18"/>
        <v>42.39</v>
      </c>
      <c r="AH91" s="49">
        <f t="shared" si="18"/>
        <v>40.47</v>
      </c>
      <c r="AI91" s="49">
        <f t="shared" si="18"/>
        <v>44.12</v>
      </c>
      <c r="AJ91" s="49">
        <f t="shared" si="18"/>
        <v>44.32</v>
      </c>
      <c r="AK91" s="49">
        <f t="shared" si="18"/>
        <v>47.320000000000007</v>
      </c>
      <c r="AL91" s="49">
        <f t="shared" si="18"/>
        <v>45.029999999999994</v>
      </c>
      <c r="AM91" s="49">
        <f t="shared" si="18"/>
        <v>43.25</v>
      </c>
      <c r="AN91" s="49">
        <f t="shared" si="4"/>
        <v>43.414545454545454</v>
      </c>
    </row>
    <row r="92" spans="1:40" ht="15" customHeight="1" x14ac:dyDescent="0.3">
      <c r="A92" s="90" t="s">
        <v>475</v>
      </c>
      <c r="B92" s="90"/>
      <c r="C92" s="90"/>
      <c r="D92" s="90"/>
      <c r="E92" s="90"/>
      <c r="F92" s="41">
        <f t="shared" ref="F92:AM92" si="19">SUM(F80,F83,F85,F87,F89,F91)</f>
        <v>600</v>
      </c>
      <c r="G92" s="42">
        <f t="shared" si="19"/>
        <v>308.82</v>
      </c>
      <c r="H92" s="42">
        <f t="shared" si="19"/>
        <v>315.39999999999998</v>
      </c>
      <c r="I92" s="42">
        <f t="shared" si="19"/>
        <v>335.37</v>
      </c>
      <c r="J92" s="42">
        <f t="shared" si="19"/>
        <v>320.97999999999996</v>
      </c>
      <c r="K92" s="42">
        <f t="shared" si="19"/>
        <v>319.24</v>
      </c>
      <c r="L92" s="42">
        <f t="shared" si="19"/>
        <v>318.11</v>
      </c>
      <c r="M92" s="42">
        <f t="shared" si="19"/>
        <v>334.29999999999995</v>
      </c>
      <c r="N92" s="42">
        <f t="shared" si="19"/>
        <v>322.01</v>
      </c>
      <c r="O92" s="42">
        <f t="shared" si="19"/>
        <v>300.96000000000004</v>
      </c>
      <c r="P92" s="42">
        <f t="shared" si="19"/>
        <v>305.67</v>
      </c>
      <c r="Q92" s="42">
        <f t="shared" si="19"/>
        <v>314.50999999999993</v>
      </c>
      <c r="R92" s="42">
        <f t="shared" si="19"/>
        <v>330.76000000000005</v>
      </c>
      <c r="S92" s="42">
        <f t="shared" si="19"/>
        <v>338.3</v>
      </c>
      <c r="T92" s="42">
        <f t="shared" si="19"/>
        <v>321.32</v>
      </c>
      <c r="U92" s="42">
        <f t="shared" si="19"/>
        <v>310.02</v>
      </c>
      <c r="V92" s="42">
        <f t="shared" si="19"/>
        <v>336.63</v>
      </c>
      <c r="W92" s="42">
        <f t="shared" si="19"/>
        <v>313.68000000000006</v>
      </c>
      <c r="X92" s="42">
        <f t="shared" si="19"/>
        <v>321.79999999999995</v>
      </c>
      <c r="Y92" s="42">
        <f t="shared" si="19"/>
        <v>327.52000000000004</v>
      </c>
      <c r="Z92" s="42">
        <f t="shared" si="19"/>
        <v>338.75</v>
      </c>
      <c r="AA92" s="42">
        <f t="shared" si="19"/>
        <v>319.32</v>
      </c>
      <c r="AB92" s="42">
        <f t="shared" si="19"/>
        <v>327.02999999999997</v>
      </c>
      <c r="AC92" s="42">
        <f t="shared" si="19"/>
        <v>345.42</v>
      </c>
      <c r="AD92" s="42">
        <f t="shared" si="19"/>
        <v>327.10000000000002</v>
      </c>
      <c r="AE92" s="42">
        <f t="shared" si="19"/>
        <v>323.85000000000002</v>
      </c>
      <c r="AF92" s="42">
        <f t="shared" si="19"/>
        <v>321.03000000000003</v>
      </c>
      <c r="AG92" s="42">
        <f t="shared" si="19"/>
        <v>322.18</v>
      </c>
      <c r="AH92" s="42">
        <f t="shared" si="19"/>
        <v>331.64</v>
      </c>
      <c r="AI92" s="42">
        <f t="shared" si="19"/>
        <v>326.97000000000003</v>
      </c>
      <c r="AJ92" s="42">
        <f t="shared" si="19"/>
        <v>330.8</v>
      </c>
      <c r="AK92" s="42">
        <f t="shared" si="19"/>
        <v>342.93</v>
      </c>
      <c r="AL92" s="42">
        <f t="shared" si="19"/>
        <v>333.32999999999993</v>
      </c>
      <c r="AM92" s="42">
        <f t="shared" si="19"/>
        <v>326.20999999999998</v>
      </c>
      <c r="AN92" s="42">
        <f t="shared" si="4"/>
        <v>324.60484848484845</v>
      </c>
    </row>
    <row r="93" spans="1:40" x14ac:dyDescent="0.3">
      <c r="A93" s="89" t="s">
        <v>476</v>
      </c>
      <c r="B93" s="89"/>
      <c r="C93" s="89"/>
      <c r="D93" s="89"/>
      <c r="E93" s="89"/>
      <c r="F93" s="50"/>
      <c r="G93" s="51">
        <f t="shared" ref="G93:AM93" si="20">IF(G92=0,0,G92/$F$92*100)</f>
        <v>51.469999999999992</v>
      </c>
      <c r="H93" s="51">
        <f t="shared" si="20"/>
        <v>52.566666666666663</v>
      </c>
      <c r="I93" s="51">
        <f t="shared" si="20"/>
        <v>55.895000000000003</v>
      </c>
      <c r="J93" s="51">
        <f t="shared" si="20"/>
        <v>53.496666666666655</v>
      </c>
      <c r="K93" s="51">
        <f t="shared" si="20"/>
        <v>53.206666666666671</v>
      </c>
      <c r="L93" s="51">
        <f t="shared" si="20"/>
        <v>53.018333333333331</v>
      </c>
      <c r="M93" s="51">
        <f t="shared" si="20"/>
        <v>55.716666666666661</v>
      </c>
      <c r="N93" s="51">
        <f t="shared" si="20"/>
        <v>53.668333333333329</v>
      </c>
      <c r="O93" s="51">
        <f t="shared" si="20"/>
        <v>50.160000000000004</v>
      </c>
      <c r="P93" s="51">
        <f t="shared" si="20"/>
        <v>50.945000000000007</v>
      </c>
      <c r="Q93" s="51">
        <f t="shared" si="20"/>
        <v>52.418333333333322</v>
      </c>
      <c r="R93" s="51">
        <f t="shared" si="20"/>
        <v>55.126666666666679</v>
      </c>
      <c r="S93" s="51">
        <f t="shared" si="20"/>
        <v>56.383333333333333</v>
      </c>
      <c r="T93" s="51">
        <f t="shared" si="20"/>
        <v>53.553333333333327</v>
      </c>
      <c r="U93" s="51">
        <f t="shared" si="20"/>
        <v>51.669999999999995</v>
      </c>
      <c r="V93" s="51">
        <f t="shared" si="20"/>
        <v>56.104999999999997</v>
      </c>
      <c r="W93" s="51">
        <f t="shared" si="20"/>
        <v>52.280000000000015</v>
      </c>
      <c r="X93" s="51">
        <f t="shared" si="20"/>
        <v>53.633333333333319</v>
      </c>
      <c r="Y93" s="51">
        <f t="shared" si="20"/>
        <v>54.586666666666673</v>
      </c>
      <c r="Z93" s="51">
        <f t="shared" si="20"/>
        <v>56.458333333333336</v>
      </c>
      <c r="AA93" s="51">
        <f t="shared" si="20"/>
        <v>53.22</v>
      </c>
      <c r="AB93" s="51">
        <f t="shared" si="20"/>
        <v>54.504999999999995</v>
      </c>
      <c r="AC93" s="51">
        <f t="shared" si="20"/>
        <v>57.57</v>
      </c>
      <c r="AD93" s="51">
        <f t="shared" si="20"/>
        <v>54.516666666666666</v>
      </c>
      <c r="AE93" s="51">
        <f t="shared" si="20"/>
        <v>53.975000000000009</v>
      </c>
      <c r="AF93" s="51">
        <f t="shared" si="20"/>
        <v>53.505000000000003</v>
      </c>
      <c r="AG93" s="51">
        <f t="shared" si="20"/>
        <v>53.696666666666673</v>
      </c>
      <c r="AH93" s="51">
        <f t="shared" si="20"/>
        <v>55.273333333333326</v>
      </c>
      <c r="AI93" s="51">
        <f t="shared" si="20"/>
        <v>54.495000000000005</v>
      </c>
      <c r="AJ93" s="51">
        <f t="shared" si="20"/>
        <v>55.133333333333333</v>
      </c>
      <c r="AK93" s="51">
        <f t="shared" si="20"/>
        <v>57.155000000000001</v>
      </c>
      <c r="AL93" s="51">
        <f t="shared" si="20"/>
        <v>55.554999999999986</v>
      </c>
      <c r="AM93" s="51">
        <f t="shared" si="20"/>
        <v>54.368333333333332</v>
      </c>
      <c r="AN93" s="51">
        <f t="shared" si="4"/>
        <v>54.100808080808079</v>
      </c>
    </row>
    <row r="94" spans="1:40" x14ac:dyDescent="0.3">
      <c r="A94" s="89" t="s">
        <v>477</v>
      </c>
      <c r="B94" s="89"/>
      <c r="C94" s="89"/>
      <c r="D94" s="89"/>
      <c r="E94" s="89"/>
      <c r="F94" s="50"/>
      <c r="G94" s="18" t="str">
        <f>IFERROR(VLOOKUP(G93,Grading_Scale!$A$3:$B$12,2,TRUE()),"")</f>
        <v>Prachesta-1</v>
      </c>
      <c r="H94" s="18" t="str">
        <f>IFERROR(VLOOKUP(H93,Grading_Scale!$A$3:$B$12,2,TRUE()),"")</f>
        <v>Prachesta-1</v>
      </c>
      <c r="I94" s="18" t="str">
        <f>IFERROR(VLOOKUP(I93,Grading_Scale!$A$3:$B$12,2,TRUE()),"")</f>
        <v>Prachesta-1</v>
      </c>
      <c r="J94" s="18" t="str">
        <f>IFERROR(VLOOKUP(J93,Grading_Scale!$A$3:$B$12,2,TRUE()),"")</f>
        <v>Prachesta-1</v>
      </c>
      <c r="K94" s="18" t="str">
        <f>IFERROR(VLOOKUP(K93,Grading_Scale!$A$3:$B$12,2,TRUE()),"")</f>
        <v>Prachesta-1</v>
      </c>
      <c r="L94" s="18" t="str">
        <f>IFERROR(VLOOKUP(L93,Grading_Scale!$A$3:$B$12,2,TRUE()),"")</f>
        <v>Prachesta-1</v>
      </c>
      <c r="M94" s="18" t="str">
        <f>IFERROR(VLOOKUP(M93,Grading_Scale!$A$3:$B$12,2,TRUE()),"")</f>
        <v>Prachesta-1</v>
      </c>
      <c r="N94" s="18" t="str">
        <f>IFERROR(VLOOKUP(N93,Grading_Scale!$A$3:$B$12,2,TRUE()),"")</f>
        <v>Prachesta-1</v>
      </c>
      <c r="O94" s="18" t="str">
        <f>IFERROR(VLOOKUP(O93,Grading_Scale!$A$3:$B$12,2,TRUE()),"")</f>
        <v>Prachesta-2</v>
      </c>
      <c r="P94" s="18" t="str">
        <f>IFERROR(VLOOKUP(P93,Grading_Scale!$A$3:$B$12,2,TRUE()),"")</f>
        <v>Prachesta-2</v>
      </c>
      <c r="Q94" s="18" t="str">
        <f>IFERROR(VLOOKUP(Q93,Grading_Scale!$A$3:$B$12,2,TRUE()),"")</f>
        <v>Prachesta-1</v>
      </c>
      <c r="R94" s="18" t="str">
        <f>IFERROR(VLOOKUP(R93,Grading_Scale!$A$3:$B$12,2,TRUE()),"")</f>
        <v>Prachesta-1</v>
      </c>
      <c r="S94" s="18" t="str">
        <f>IFERROR(VLOOKUP(S93,Grading_Scale!$A$3:$B$12,2,TRUE()),"")</f>
        <v>Prachesta-1</v>
      </c>
      <c r="T94" s="18" t="str">
        <f>IFERROR(VLOOKUP(T93,Grading_Scale!$A$3:$B$12,2,TRUE()),"")</f>
        <v>Prachesta-1</v>
      </c>
      <c r="U94" s="18" t="str">
        <f>IFERROR(VLOOKUP(U93,Grading_Scale!$A$3:$B$12,2,TRUE()),"")</f>
        <v>Prachesta-1</v>
      </c>
      <c r="V94" s="18" t="str">
        <f>IFERROR(VLOOKUP(V93,Grading_Scale!$A$3:$B$12,2,TRUE()),"")</f>
        <v>Prachesta-1</v>
      </c>
      <c r="W94" s="18" t="str">
        <f>IFERROR(VLOOKUP(W93,Grading_Scale!$A$3:$B$12,2,TRUE()),"")</f>
        <v>Prachesta-1</v>
      </c>
      <c r="X94" s="18" t="str">
        <f>IFERROR(VLOOKUP(X93,Grading_Scale!$A$3:$B$12,2,TRUE()),"")</f>
        <v>Prachesta-1</v>
      </c>
      <c r="Y94" s="18" t="str">
        <f>IFERROR(VLOOKUP(Y93,Grading_Scale!$A$3:$B$12,2,TRUE()),"")</f>
        <v>Prachesta-1</v>
      </c>
      <c r="Z94" s="18" t="str">
        <f>IFERROR(VLOOKUP(Z93,Grading_Scale!$A$3:$B$12,2,TRUE()),"")</f>
        <v>Prachesta-1</v>
      </c>
      <c r="AA94" s="18" t="str">
        <f>IFERROR(VLOOKUP(AA93,Grading_Scale!$A$3:$B$12,2,TRUE()),"")</f>
        <v>Prachesta-1</v>
      </c>
      <c r="AB94" s="18" t="str">
        <f>IFERROR(VLOOKUP(AB93,Grading_Scale!$A$3:$B$12,2,TRUE()),"")</f>
        <v>Prachesta-1</v>
      </c>
      <c r="AC94" s="18" t="str">
        <f>IFERROR(VLOOKUP(AC93,Grading_Scale!$A$3:$B$12,2,TRUE()),"")</f>
        <v>Prachesta-1</v>
      </c>
      <c r="AD94" s="18" t="str">
        <f>IFERROR(VLOOKUP(AD93,Grading_Scale!$A$3:$B$12,2,TRUE()),"")</f>
        <v>Prachesta-1</v>
      </c>
      <c r="AE94" s="18" t="str">
        <f>IFERROR(VLOOKUP(AE93,Grading_Scale!$A$3:$B$12,2,TRUE()),"")</f>
        <v>Prachesta-1</v>
      </c>
      <c r="AF94" s="18" t="str">
        <f>IFERROR(VLOOKUP(AF93,Grading_Scale!$A$3:$B$12,2,TRUE()),"")</f>
        <v>Prachesta-1</v>
      </c>
      <c r="AG94" s="18" t="str">
        <f>IFERROR(VLOOKUP(AG93,Grading_Scale!$A$3:$B$12,2,TRUE()),"")</f>
        <v>Prachesta-1</v>
      </c>
      <c r="AH94" s="18" t="str">
        <f>IFERROR(VLOOKUP(AH93,Grading_Scale!$A$3:$B$12,2,TRUE()),"")</f>
        <v>Prachesta-1</v>
      </c>
      <c r="AI94" s="18" t="str">
        <f>IFERROR(VLOOKUP(AI93,Grading_Scale!$A$3:$B$12,2,TRUE()),"")</f>
        <v>Prachesta-1</v>
      </c>
      <c r="AJ94" s="18" t="str">
        <f>IFERROR(VLOOKUP(AJ93,Grading_Scale!$A$3:$B$12,2,TRUE()),"")</f>
        <v>Prachesta-1</v>
      </c>
      <c r="AK94" s="18" t="str">
        <f>IFERROR(VLOOKUP(AK93,Grading_Scale!$A$3:$B$12,2,TRUE()),"")</f>
        <v>Prachesta-1</v>
      </c>
      <c r="AL94" s="18" t="str">
        <f>IFERROR(VLOOKUP(AL93,Grading_Scale!$A$3:$B$12,2,TRUE()),"")</f>
        <v>Prachesta-1</v>
      </c>
      <c r="AM94" s="18" t="str">
        <f>IFERROR(VLOOKUP(AM93,Grading_Scale!$A$3:$B$12,2,TRUE()),"")</f>
        <v>Prachesta-1</v>
      </c>
      <c r="AN94" s="50"/>
    </row>
  </sheetData>
  <mergeCells count="20">
    <mergeCell ref="A1:AO1"/>
    <mergeCell ref="A2:AO2"/>
    <mergeCell ref="A77:E77"/>
    <mergeCell ref="A78:E78"/>
    <mergeCell ref="A79:E79"/>
    <mergeCell ref="A80:E80"/>
    <mergeCell ref="A81:E81"/>
    <mergeCell ref="A82:E82"/>
    <mergeCell ref="A83:E83"/>
    <mergeCell ref="A84:E84"/>
    <mergeCell ref="A85:E85"/>
    <mergeCell ref="A86:E86"/>
    <mergeCell ref="A87:E87"/>
    <mergeCell ref="A88:E88"/>
    <mergeCell ref="A94:E94"/>
    <mergeCell ref="A89:E89"/>
    <mergeCell ref="A90:E90"/>
    <mergeCell ref="A91:E91"/>
    <mergeCell ref="A92:E92"/>
    <mergeCell ref="A93:E9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AM24"/>
  <sheetViews>
    <sheetView showGridLines="0" zoomScaleNormal="100" workbookViewId="0">
      <selection activeCell="D26" sqref="D26"/>
    </sheetView>
  </sheetViews>
  <sheetFormatPr defaultColWidth="8.6640625" defaultRowHeight="14.4" x14ac:dyDescent="0.3"/>
  <cols>
    <col min="1" max="1" width="22" style="6" customWidth="1"/>
    <col min="2" max="2" width="12" style="6" customWidth="1"/>
    <col min="3" max="3" width="50" style="6" customWidth="1"/>
    <col min="4" max="4" width="13" style="6" customWidth="1"/>
    <col min="5" max="37" width="13.77734375" style="6" customWidth="1"/>
    <col min="38" max="38" width="12" style="6" customWidth="1"/>
    <col min="39" max="39" width="50" style="6" customWidth="1"/>
    <col min="40" max="16384" width="8.6640625" style="6"/>
  </cols>
  <sheetData>
    <row r="1" spans="1:39" ht="25.5" customHeight="1" x14ac:dyDescent="0.3">
      <c r="A1" s="86" t="s">
        <v>778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row>
    <row r="2" spans="1:39" ht="15.6" x14ac:dyDescent="0.3">
      <c r="A2" s="80" t="s">
        <v>478</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row>
    <row r="3" spans="1:39" ht="31.5" customHeight="1" x14ac:dyDescent="0.3">
      <c r="A3" s="43" t="s">
        <v>479</v>
      </c>
      <c r="B3" s="43" t="s">
        <v>480</v>
      </c>
      <c r="C3" s="43" t="s">
        <v>481</v>
      </c>
      <c r="D3" s="43" t="s">
        <v>482</v>
      </c>
      <c r="E3" s="43" t="str">
        <f>Districts_Setup!$B$4</f>
        <v>Ahmedabad</v>
      </c>
      <c r="F3" s="43" t="str">
        <f>Districts_Setup!$B$5</f>
        <v>Amreli</v>
      </c>
      <c r="G3" s="43" t="str">
        <f>Districts_Setup!$B$6</f>
        <v>Anand</v>
      </c>
      <c r="H3" s="43" t="str">
        <f>Districts_Setup!$B$7</f>
        <v>Aravalli</v>
      </c>
      <c r="I3" s="43" t="str">
        <f>Districts_Setup!$B$8</f>
        <v>Banaskantha</v>
      </c>
      <c r="J3" s="43" t="str">
        <f>Districts_Setup!$B$9</f>
        <v>Bharuch</v>
      </c>
      <c r="K3" s="43" t="str">
        <f>Districts_Setup!$B$10</f>
        <v>Bhavnagar</v>
      </c>
      <c r="L3" s="43" t="str">
        <f>Districts_Setup!$B$11</f>
        <v>Botad</v>
      </c>
      <c r="M3" s="43" t="str">
        <f>Districts_Setup!$B$12</f>
        <v>Chhota Udepur</v>
      </c>
      <c r="N3" s="43" t="str">
        <f>Districts_Setup!$B$13</f>
        <v>Dahod</v>
      </c>
      <c r="O3" s="43" t="str">
        <f>Districts_Setup!$B$14</f>
        <v>Dang</v>
      </c>
      <c r="P3" s="43" t="str">
        <f>Districts_Setup!$B$15</f>
        <v>Devbhoomi Dwarka</v>
      </c>
      <c r="Q3" s="43" t="str">
        <f>Districts_Setup!$B$16</f>
        <v>Gandhinagar</v>
      </c>
      <c r="R3" s="43" t="str">
        <f>Districts_Setup!$B$17</f>
        <v>Gir Somnath</v>
      </c>
      <c r="S3" s="43" t="str">
        <f>Districts_Setup!$B$18</f>
        <v>Jamnagar</v>
      </c>
      <c r="T3" s="43" t="str">
        <f>Districts_Setup!$B$19</f>
        <v>Junagadh</v>
      </c>
      <c r="U3" s="43" t="str">
        <f>Districts_Setup!$B$20</f>
        <v>Kutch</v>
      </c>
      <c r="V3" s="43" t="str">
        <f>Districts_Setup!$B$21</f>
        <v>Kheda</v>
      </c>
      <c r="W3" s="43" t="str">
        <f>Districts_Setup!$B$22</f>
        <v>Mahisagar</v>
      </c>
      <c r="X3" s="43" t="str">
        <f>Districts_Setup!$B$23</f>
        <v>Mehsana</v>
      </c>
      <c r="Y3" s="43" t="str">
        <f>Districts_Setup!$B$24</f>
        <v>Morbi</v>
      </c>
      <c r="Z3" s="43" t="str">
        <f>Districts_Setup!$B$25</f>
        <v>Narmada</v>
      </c>
      <c r="AA3" s="43" t="str">
        <f>Districts_Setup!$B$26</f>
        <v>Navsari</v>
      </c>
      <c r="AB3" s="43" t="str">
        <f>Districts_Setup!$B$27</f>
        <v>Panchmahal</v>
      </c>
      <c r="AC3" s="43" t="str">
        <f>Districts_Setup!$B$28</f>
        <v>Patan</v>
      </c>
      <c r="AD3" s="43" t="str">
        <f>Districts_Setup!$B$29</f>
        <v>Porbandar</v>
      </c>
      <c r="AE3" s="43" t="str">
        <f>Districts_Setup!$B$30</f>
        <v>Rajkot</v>
      </c>
      <c r="AF3" s="43" t="str">
        <f>Districts_Setup!$B$31</f>
        <v>Sabarkantha</v>
      </c>
      <c r="AG3" s="43" t="str">
        <f>Districts_Setup!$B$32</f>
        <v>Surat</v>
      </c>
      <c r="AH3" s="43" t="str">
        <f>Districts_Setup!$B$33</f>
        <v>Surendranagar</v>
      </c>
      <c r="AI3" s="43" t="str">
        <f>Districts_Setup!$B$34</f>
        <v>Tapi</v>
      </c>
      <c r="AJ3" s="43" t="str">
        <f>Districts_Setup!$B$35</f>
        <v>Vadodara</v>
      </c>
      <c r="AK3" s="43" t="str">
        <f>Districts_Setup!$B$36</f>
        <v>Valsad</v>
      </c>
      <c r="AL3" s="29" t="s">
        <v>483</v>
      </c>
      <c r="AM3" s="29" t="s">
        <v>484</v>
      </c>
    </row>
    <row r="4" spans="1:39" s="11" customFormat="1" ht="58.05" customHeight="1" x14ac:dyDescent="0.3">
      <c r="A4" s="56" t="s">
        <v>485</v>
      </c>
      <c r="B4" s="25" t="s">
        <v>486</v>
      </c>
      <c r="C4" s="14" t="s">
        <v>487</v>
      </c>
      <c r="D4" s="57">
        <v>0.67</v>
      </c>
      <c r="E4" s="58">
        <v>0.64</v>
      </c>
      <c r="F4" s="58">
        <v>0.6</v>
      </c>
      <c r="G4" s="58">
        <v>0.63</v>
      </c>
      <c r="H4" s="58">
        <v>0.56000000000000005</v>
      </c>
      <c r="I4" s="58">
        <v>0.6</v>
      </c>
      <c r="J4" s="58">
        <v>0.63</v>
      </c>
      <c r="K4" s="58">
        <v>0.67</v>
      </c>
      <c r="L4" s="58">
        <v>0.63</v>
      </c>
      <c r="M4" s="58">
        <v>0.56999999999999995</v>
      </c>
      <c r="N4" s="58">
        <v>0.64</v>
      </c>
      <c r="O4" s="58">
        <v>0.64</v>
      </c>
      <c r="P4" s="58">
        <v>0.63</v>
      </c>
      <c r="Q4" s="58">
        <v>0.67</v>
      </c>
      <c r="R4" s="58">
        <v>0.55000000000000004</v>
      </c>
      <c r="S4" s="58">
        <v>0.54</v>
      </c>
      <c r="T4" s="58">
        <v>0.62</v>
      </c>
      <c r="U4" s="58">
        <v>0.56000000000000005</v>
      </c>
      <c r="V4" s="58">
        <v>0.56999999999999995</v>
      </c>
      <c r="W4" s="58">
        <v>0.63</v>
      </c>
      <c r="X4" s="58">
        <v>0.61</v>
      </c>
      <c r="Y4" s="58">
        <v>0.65</v>
      </c>
      <c r="Z4" s="58">
        <v>0.61</v>
      </c>
      <c r="AA4" s="58">
        <v>0.6</v>
      </c>
      <c r="AB4" s="58">
        <v>0.62</v>
      </c>
      <c r="AC4" s="58">
        <v>0.59</v>
      </c>
      <c r="AD4" s="58">
        <v>0.56999999999999995</v>
      </c>
      <c r="AE4" s="58">
        <v>0.6</v>
      </c>
      <c r="AF4" s="58">
        <v>0.65</v>
      </c>
      <c r="AG4" s="58">
        <v>0.6</v>
      </c>
      <c r="AH4" s="58">
        <v>0.67</v>
      </c>
      <c r="AI4" s="58">
        <v>0.66</v>
      </c>
      <c r="AJ4" s="58">
        <v>0.56000000000000005</v>
      </c>
      <c r="AK4" s="58">
        <v>0.63</v>
      </c>
      <c r="AL4" s="57">
        <f t="shared" ref="AL4:AL18" si="0">IFERROR(AVERAGE(E4:AK4),0)</f>
        <v>0.61212121212121207</v>
      </c>
      <c r="AM4" s="34" t="s">
        <v>488</v>
      </c>
    </row>
    <row r="5" spans="1:39" s="11" customFormat="1" ht="58.05" customHeight="1" x14ac:dyDescent="0.3">
      <c r="A5" s="59"/>
      <c r="B5" s="25" t="s">
        <v>489</v>
      </c>
      <c r="C5" s="14" t="s">
        <v>490</v>
      </c>
      <c r="D5" s="57">
        <v>0.6</v>
      </c>
      <c r="E5" s="58">
        <v>0.55000000000000004</v>
      </c>
      <c r="F5" s="58">
        <v>0.51</v>
      </c>
      <c r="G5" s="58">
        <v>0.53</v>
      </c>
      <c r="H5" s="58">
        <v>0.47</v>
      </c>
      <c r="I5" s="58">
        <v>0.49</v>
      </c>
      <c r="J5" s="58">
        <v>0.54</v>
      </c>
      <c r="K5" s="58">
        <v>0.59</v>
      </c>
      <c r="L5" s="58">
        <v>0.53</v>
      </c>
      <c r="M5" s="58">
        <v>0.47</v>
      </c>
      <c r="N5" s="58">
        <v>0.54</v>
      </c>
      <c r="O5" s="58">
        <v>0.53</v>
      </c>
      <c r="P5" s="58">
        <v>0.53</v>
      </c>
      <c r="Q5" s="58">
        <v>0.61</v>
      </c>
      <c r="R5" s="58">
        <v>0.44</v>
      </c>
      <c r="S5" s="58">
        <v>0.43</v>
      </c>
      <c r="T5" s="58">
        <v>0.51</v>
      </c>
      <c r="U5" s="58">
        <v>0.46</v>
      </c>
      <c r="V5" s="58">
        <v>0.46</v>
      </c>
      <c r="W5" s="58">
        <v>0.53</v>
      </c>
      <c r="X5" s="58">
        <v>0.54</v>
      </c>
      <c r="Y5" s="58">
        <v>0.54</v>
      </c>
      <c r="Z5" s="58">
        <v>0.54</v>
      </c>
      <c r="AA5" s="58">
        <v>0.5</v>
      </c>
      <c r="AB5" s="58">
        <v>0.54</v>
      </c>
      <c r="AC5" s="58">
        <v>0.48</v>
      </c>
      <c r="AD5" s="58">
        <v>0.45</v>
      </c>
      <c r="AE5" s="58">
        <v>0.54</v>
      </c>
      <c r="AF5" s="58">
        <v>0.57999999999999996</v>
      </c>
      <c r="AG5" s="58">
        <v>0.51</v>
      </c>
      <c r="AH5" s="58">
        <v>0.57999999999999996</v>
      </c>
      <c r="AI5" s="58">
        <v>0.56999999999999995</v>
      </c>
      <c r="AJ5" s="58">
        <v>0.48</v>
      </c>
      <c r="AK5" s="58">
        <v>0.55000000000000004</v>
      </c>
      <c r="AL5" s="57">
        <f t="shared" si="0"/>
        <v>0.51878787878787869</v>
      </c>
      <c r="AM5" s="34"/>
    </row>
    <row r="6" spans="1:39" s="11" customFormat="1" ht="58.05" customHeight="1" x14ac:dyDescent="0.3">
      <c r="A6" s="59"/>
      <c r="B6" s="25" t="s">
        <v>491</v>
      </c>
      <c r="C6" s="14" t="s">
        <v>492</v>
      </c>
      <c r="D6" s="57">
        <v>0.61</v>
      </c>
      <c r="E6" s="58">
        <v>0.57999999999999996</v>
      </c>
      <c r="F6" s="58">
        <v>0.53</v>
      </c>
      <c r="G6" s="58">
        <v>0.56000000000000005</v>
      </c>
      <c r="H6" s="58">
        <v>0.5</v>
      </c>
      <c r="I6" s="58">
        <v>0.52</v>
      </c>
      <c r="J6" s="58">
        <v>0.56000000000000005</v>
      </c>
      <c r="K6" s="58">
        <v>0.61</v>
      </c>
      <c r="L6" s="58">
        <v>0.56999999999999995</v>
      </c>
      <c r="M6" s="58">
        <v>0.47</v>
      </c>
      <c r="N6" s="58">
        <v>0.6</v>
      </c>
      <c r="O6" s="58">
        <v>0.6</v>
      </c>
      <c r="P6" s="58">
        <v>0.54</v>
      </c>
      <c r="Q6" s="58">
        <v>0.6</v>
      </c>
      <c r="R6" s="58">
        <v>0.49</v>
      </c>
      <c r="S6" s="58">
        <v>0.46</v>
      </c>
      <c r="T6" s="58">
        <v>0.56999999999999995</v>
      </c>
      <c r="U6" s="58">
        <v>0.49</v>
      </c>
      <c r="V6" s="58">
        <v>0.49</v>
      </c>
      <c r="W6" s="58">
        <v>0.57999999999999996</v>
      </c>
      <c r="X6" s="58">
        <v>0.55000000000000004</v>
      </c>
      <c r="Y6" s="58">
        <v>0.57999999999999996</v>
      </c>
      <c r="Z6" s="58">
        <v>0.56999999999999995</v>
      </c>
      <c r="AA6" s="58">
        <v>0.53</v>
      </c>
      <c r="AB6" s="58">
        <v>0.56999999999999995</v>
      </c>
      <c r="AC6" s="58">
        <v>0.51</v>
      </c>
      <c r="AD6" s="58">
        <v>0.48</v>
      </c>
      <c r="AE6" s="58">
        <v>0.55000000000000004</v>
      </c>
      <c r="AF6" s="58">
        <v>0.61</v>
      </c>
      <c r="AG6" s="58">
        <v>0.53</v>
      </c>
      <c r="AH6" s="58">
        <v>0.57999999999999996</v>
      </c>
      <c r="AI6" s="58">
        <v>0.61</v>
      </c>
      <c r="AJ6" s="58">
        <v>0.5</v>
      </c>
      <c r="AK6" s="58">
        <v>0.56000000000000005</v>
      </c>
      <c r="AL6" s="57">
        <f t="shared" si="0"/>
        <v>0.54696969696969688</v>
      </c>
      <c r="AM6" s="34"/>
    </row>
    <row r="7" spans="1:39" s="11" customFormat="1" ht="58.05" customHeight="1" x14ac:dyDescent="0.3">
      <c r="A7" s="56" t="s">
        <v>493</v>
      </c>
      <c r="B7" s="25" t="s">
        <v>494</v>
      </c>
      <c r="C7" s="14" t="s">
        <v>495</v>
      </c>
      <c r="D7" s="57">
        <v>0.68</v>
      </c>
      <c r="E7" s="58">
        <v>0.66</v>
      </c>
      <c r="F7" s="58">
        <v>0.6</v>
      </c>
      <c r="G7" s="58">
        <v>0.61</v>
      </c>
      <c r="H7" s="58">
        <v>0.57999999999999996</v>
      </c>
      <c r="I7" s="58">
        <v>0.61</v>
      </c>
      <c r="J7" s="58">
        <v>0.62</v>
      </c>
      <c r="K7" s="58">
        <v>0.67</v>
      </c>
      <c r="L7" s="58">
        <v>0.64</v>
      </c>
      <c r="M7" s="58">
        <v>0.53</v>
      </c>
      <c r="N7" s="58">
        <v>0.64</v>
      </c>
      <c r="O7" s="58">
        <v>0.65</v>
      </c>
      <c r="P7" s="58">
        <v>0.63</v>
      </c>
      <c r="Q7" s="58">
        <v>0.71</v>
      </c>
      <c r="R7" s="58">
        <v>0.55000000000000004</v>
      </c>
      <c r="S7" s="58">
        <v>0.55000000000000004</v>
      </c>
      <c r="T7" s="58">
        <v>0.63</v>
      </c>
      <c r="U7" s="58">
        <v>0.6</v>
      </c>
      <c r="V7" s="58">
        <v>0.57999999999999996</v>
      </c>
      <c r="W7" s="58">
        <v>0.64</v>
      </c>
      <c r="X7" s="58">
        <v>0.63</v>
      </c>
      <c r="Y7" s="58">
        <v>0.67</v>
      </c>
      <c r="Z7" s="58">
        <v>0.65</v>
      </c>
      <c r="AA7" s="58">
        <v>0.62</v>
      </c>
      <c r="AB7" s="58">
        <v>0.64</v>
      </c>
      <c r="AC7" s="58">
        <v>0.61</v>
      </c>
      <c r="AD7" s="58">
        <v>0.57999999999999996</v>
      </c>
      <c r="AE7" s="58">
        <v>0.62</v>
      </c>
      <c r="AF7" s="58">
        <v>0.67</v>
      </c>
      <c r="AG7" s="58">
        <v>0.61</v>
      </c>
      <c r="AH7" s="58">
        <v>0.67</v>
      </c>
      <c r="AI7" s="58">
        <v>0.66</v>
      </c>
      <c r="AJ7" s="58">
        <v>0.62</v>
      </c>
      <c r="AK7" s="58">
        <v>0.64</v>
      </c>
      <c r="AL7" s="57">
        <f t="shared" si="0"/>
        <v>0.62393939393939413</v>
      </c>
      <c r="AM7" s="34"/>
    </row>
    <row r="8" spans="1:39" s="11" customFormat="1" ht="58.05" customHeight="1" x14ac:dyDescent="0.3">
      <c r="A8" s="59"/>
      <c r="B8" s="25" t="s">
        <v>496</v>
      </c>
      <c r="C8" s="14" t="s">
        <v>497</v>
      </c>
      <c r="D8" s="57">
        <v>0.69</v>
      </c>
      <c r="E8" s="58">
        <v>0.65</v>
      </c>
      <c r="F8" s="58">
        <v>0.6</v>
      </c>
      <c r="G8" s="58">
        <v>0.67</v>
      </c>
      <c r="H8" s="58">
        <v>0.59</v>
      </c>
      <c r="I8" s="58">
        <v>0.62</v>
      </c>
      <c r="J8" s="58">
        <v>0.66</v>
      </c>
      <c r="K8" s="58">
        <v>0.67</v>
      </c>
      <c r="L8" s="58">
        <v>0.65</v>
      </c>
      <c r="M8" s="58">
        <v>0.56999999999999995</v>
      </c>
      <c r="N8" s="58">
        <v>0.62</v>
      </c>
      <c r="O8" s="58">
        <v>0.64</v>
      </c>
      <c r="P8" s="58">
        <v>0.65</v>
      </c>
      <c r="Q8" s="58">
        <v>0.72</v>
      </c>
      <c r="R8" s="58">
        <v>0.56000000000000005</v>
      </c>
      <c r="S8" s="58">
        <v>0.59</v>
      </c>
      <c r="T8" s="58">
        <v>0.65</v>
      </c>
      <c r="U8" s="58">
        <v>0.62</v>
      </c>
      <c r="V8" s="58">
        <v>0.55000000000000004</v>
      </c>
      <c r="W8" s="58">
        <v>0.57999999999999996</v>
      </c>
      <c r="X8" s="58">
        <v>0.61</v>
      </c>
      <c r="Y8" s="58">
        <v>0.66</v>
      </c>
      <c r="Z8" s="58">
        <v>0.6</v>
      </c>
      <c r="AA8" s="58">
        <v>0.65</v>
      </c>
      <c r="AB8" s="58">
        <v>0.65</v>
      </c>
      <c r="AC8" s="58">
        <v>0.6</v>
      </c>
      <c r="AD8" s="58">
        <v>0.64</v>
      </c>
      <c r="AE8" s="58">
        <v>0.63</v>
      </c>
      <c r="AF8" s="58">
        <v>0.67</v>
      </c>
      <c r="AG8" s="58">
        <v>0.62</v>
      </c>
      <c r="AH8" s="58">
        <v>0.69</v>
      </c>
      <c r="AI8" s="58">
        <v>0.74</v>
      </c>
      <c r="AJ8" s="58">
        <v>0.6</v>
      </c>
      <c r="AK8" s="58">
        <v>0.67</v>
      </c>
      <c r="AL8" s="57">
        <f t="shared" si="0"/>
        <v>0.63303030303030317</v>
      </c>
      <c r="AM8" s="34"/>
    </row>
    <row r="9" spans="1:39" s="11" customFormat="1" ht="58.05" customHeight="1" x14ac:dyDescent="0.3">
      <c r="A9" s="59"/>
      <c r="B9" s="25" t="s">
        <v>498</v>
      </c>
      <c r="C9" s="14" t="s">
        <v>499</v>
      </c>
      <c r="D9" s="57">
        <v>0.55000000000000004</v>
      </c>
      <c r="E9" s="58">
        <v>0.49</v>
      </c>
      <c r="F9" s="58">
        <v>0.46</v>
      </c>
      <c r="G9" s="58">
        <v>0.45</v>
      </c>
      <c r="H9" s="58">
        <v>0.42</v>
      </c>
      <c r="I9" s="58">
        <v>0.5</v>
      </c>
      <c r="J9" s="58">
        <v>0.54</v>
      </c>
      <c r="K9" s="58">
        <v>0.55000000000000004</v>
      </c>
      <c r="L9" s="58">
        <v>0.44</v>
      </c>
      <c r="M9" s="58">
        <v>0.44</v>
      </c>
      <c r="N9" s="58">
        <v>0.5</v>
      </c>
      <c r="O9" s="58">
        <v>0.52</v>
      </c>
      <c r="P9" s="58">
        <v>0.51</v>
      </c>
      <c r="Q9" s="58">
        <v>0.56999999999999995</v>
      </c>
      <c r="R9" s="58">
        <v>0.4</v>
      </c>
      <c r="S9" s="58">
        <v>0.4</v>
      </c>
      <c r="T9" s="58">
        <v>0.48</v>
      </c>
      <c r="U9" s="58">
        <v>0.42</v>
      </c>
      <c r="V9" s="58">
        <v>0.38</v>
      </c>
      <c r="W9" s="58">
        <v>0.48</v>
      </c>
      <c r="X9" s="58">
        <v>0.5</v>
      </c>
      <c r="Y9" s="58">
        <v>0.47</v>
      </c>
      <c r="Z9" s="58">
        <v>0.49</v>
      </c>
      <c r="AA9" s="58">
        <v>0.45</v>
      </c>
      <c r="AB9" s="58">
        <v>0.49</v>
      </c>
      <c r="AC9" s="58">
        <v>0.42</v>
      </c>
      <c r="AD9" s="58">
        <v>0.46</v>
      </c>
      <c r="AE9" s="58">
        <v>0.48</v>
      </c>
      <c r="AF9" s="58">
        <v>0.54</v>
      </c>
      <c r="AG9" s="58">
        <v>0.46</v>
      </c>
      <c r="AH9" s="58">
        <v>0.54</v>
      </c>
      <c r="AI9" s="58">
        <v>0.59</v>
      </c>
      <c r="AJ9" s="58">
        <v>0.41</v>
      </c>
      <c r="AK9" s="58">
        <v>0.51</v>
      </c>
      <c r="AL9" s="57">
        <f t="shared" si="0"/>
        <v>0.47757575757575765</v>
      </c>
      <c r="AM9" s="34"/>
    </row>
    <row r="10" spans="1:39" s="11" customFormat="1" ht="58.05" customHeight="1" x14ac:dyDescent="0.3">
      <c r="A10" s="59"/>
      <c r="B10" s="25" t="s">
        <v>500</v>
      </c>
      <c r="C10" s="14" t="s">
        <v>501</v>
      </c>
      <c r="D10" s="57">
        <v>0.61</v>
      </c>
      <c r="E10" s="58">
        <v>0.56000000000000005</v>
      </c>
      <c r="F10" s="58">
        <v>0.55000000000000004</v>
      </c>
      <c r="G10" s="58">
        <v>0.59</v>
      </c>
      <c r="H10" s="58">
        <v>0.52</v>
      </c>
      <c r="I10" s="58">
        <v>0.53</v>
      </c>
      <c r="J10" s="58">
        <v>0.56999999999999995</v>
      </c>
      <c r="K10" s="58">
        <v>0.59</v>
      </c>
      <c r="L10" s="58">
        <v>0.56999999999999995</v>
      </c>
      <c r="M10" s="58">
        <v>0.48</v>
      </c>
      <c r="N10" s="58">
        <v>0.56999999999999995</v>
      </c>
      <c r="O10" s="58">
        <v>0.57999999999999996</v>
      </c>
      <c r="P10" s="58">
        <v>0.53</v>
      </c>
      <c r="Q10" s="58">
        <v>0.61</v>
      </c>
      <c r="R10" s="58">
        <v>0.47</v>
      </c>
      <c r="S10" s="58">
        <v>0.51</v>
      </c>
      <c r="T10" s="58">
        <v>0.54</v>
      </c>
      <c r="U10" s="58">
        <v>0.51</v>
      </c>
      <c r="V10" s="58">
        <v>0.48</v>
      </c>
      <c r="W10" s="58">
        <v>0.55000000000000004</v>
      </c>
      <c r="X10" s="58">
        <v>0.57999999999999996</v>
      </c>
      <c r="Y10" s="58">
        <v>0.56999999999999995</v>
      </c>
      <c r="Z10" s="58">
        <v>0.53</v>
      </c>
      <c r="AA10" s="58">
        <v>0.54</v>
      </c>
      <c r="AB10" s="58">
        <v>0.56000000000000005</v>
      </c>
      <c r="AC10" s="58">
        <v>0.54</v>
      </c>
      <c r="AD10" s="58">
        <v>0.46</v>
      </c>
      <c r="AE10" s="58">
        <v>0.54</v>
      </c>
      <c r="AF10" s="58">
        <v>0.57999999999999996</v>
      </c>
      <c r="AG10" s="58">
        <v>0.55000000000000004</v>
      </c>
      <c r="AH10" s="58">
        <v>0.59</v>
      </c>
      <c r="AI10" s="58">
        <v>0.62</v>
      </c>
      <c r="AJ10" s="58">
        <v>0.54</v>
      </c>
      <c r="AK10" s="58">
        <v>0.57999999999999996</v>
      </c>
      <c r="AL10" s="57">
        <f t="shared" si="0"/>
        <v>0.54818181818181833</v>
      </c>
      <c r="AM10" s="34"/>
    </row>
    <row r="11" spans="1:39" s="11" customFormat="1" ht="58.05" customHeight="1" x14ac:dyDescent="0.3">
      <c r="A11" s="59"/>
      <c r="B11" s="25" t="s">
        <v>502</v>
      </c>
      <c r="C11" s="14" t="s">
        <v>503</v>
      </c>
      <c r="D11" s="57">
        <v>0.57999999999999996</v>
      </c>
      <c r="E11" s="58">
        <v>0.49</v>
      </c>
      <c r="F11" s="58">
        <v>0.45</v>
      </c>
      <c r="G11" s="58">
        <v>0.44</v>
      </c>
      <c r="H11" s="58">
        <v>0.45</v>
      </c>
      <c r="I11" s="58">
        <v>0.45</v>
      </c>
      <c r="J11" s="58">
        <v>0.48</v>
      </c>
      <c r="K11" s="58">
        <v>0.54</v>
      </c>
      <c r="L11" s="58">
        <v>0.48</v>
      </c>
      <c r="M11" s="58">
        <v>0.44</v>
      </c>
      <c r="N11" s="58">
        <v>0.51</v>
      </c>
      <c r="O11" s="58">
        <v>0.5</v>
      </c>
      <c r="P11" s="58">
        <v>0.49</v>
      </c>
      <c r="Q11" s="58">
        <v>0.54</v>
      </c>
      <c r="R11" s="58">
        <v>0.41</v>
      </c>
      <c r="S11" s="58">
        <v>0.4</v>
      </c>
      <c r="T11" s="58">
        <v>0.42</v>
      </c>
      <c r="U11" s="58">
        <v>0.43</v>
      </c>
      <c r="V11" s="58">
        <v>0.41</v>
      </c>
      <c r="W11" s="58">
        <v>0.5</v>
      </c>
      <c r="X11" s="58">
        <v>0.47</v>
      </c>
      <c r="Y11" s="58">
        <v>0.45</v>
      </c>
      <c r="Z11" s="58">
        <v>0.46</v>
      </c>
      <c r="AA11" s="58">
        <v>0.47</v>
      </c>
      <c r="AB11" s="58">
        <v>0.49</v>
      </c>
      <c r="AC11" s="58">
        <v>0.43</v>
      </c>
      <c r="AD11" s="58">
        <v>0.41</v>
      </c>
      <c r="AE11" s="58">
        <v>0.46</v>
      </c>
      <c r="AF11" s="58">
        <v>0.56000000000000005</v>
      </c>
      <c r="AG11" s="58">
        <v>0.44</v>
      </c>
      <c r="AH11" s="58">
        <v>0.5</v>
      </c>
      <c r="AI11" s="58">
        <v>0.51</v>
      </c>
      <c r="AJ11" s="58">
        <v>0.44</v>
      </c>
      <c r="AK11" s="58">
        <v>0.48</v>
      </c>
      <c r="AL11" s="57">
        <f t="shared" si="0"/>
        <v>0.46666666666666673</v>
      </c>
      <c r="AM11" s="34"/>
    </row>
    <row r="12" spans="1:39" s="11" customFormat="1" ht="58.05" customHeight="1" x14ac:dyDescent="0.3">
      <c r="A12" s="59"/>
      <c r="B12" s="25" t="s">
        <v>504</v>
      </c>
      <c r="C12" s="14" t="s">
        <v>505</v>
      </c>
      <c r="D12" s="57">
        <v>0.54</v>
      </c>
      <c r="E12" s="58">
        <v>0.46</v>
      </c>
      <c r="F12" s="58">
        <v>0.41</v>
      </c>
      <c r="G12" s="58">
        <v>0.42</v>
      </c>
      <c r="H12" s="58">
        <v>0.42</v>
      </c>
      <c r="I12" s="58">
        <v>0.4</v>
      </c>
      <c r="J12" s="58">
        <v>0.41</v>
      </c>
      <c r="K12" s="58">
        <v>0.47</v>
      </c>
      <c r="L12" s="58">
        <v>0.45</v>
      </c>
      <c r="M12" s="58">
        <v>0.41</v>
      </c>
      <c r="N12" s="58">
        <v>0.52</v>
      </c>
      <c r="O12" s="58">
        <v>0.5</v>
      </c>
      <c r="P12" s="58">
        <v>0.42</v>
      </c>
      <c r="Q12" s="58">
        <v>0.53</v>
      </c>
      <c r="R12" s="58">
        <v>0.4</v>
      </c>
      <c r="S12" s="58">
        <v>0.32</v>
      </c>
      <c r="T12" s="58">
        <v>0.41</v>
      </c>
      <c r="U12" s="58">
        <v>0.38</v>
      </c>
      <c r="V12" s="58">
        <v>0.39</v>
      </c>
      <c r="W12" s="58">
        <v>0.46</v>
      </c>
      <c r="X12" s="58">
        <v>0.45</v>
      </c>
      <c r="Y12" s="58">
        <v>0.44</v>
      </c>
      <c r="Z12" s="58">
        <v>0.46</v>
      </c>
      <c r="AA12" s="58">
        <v>0.4</v>
      </c>
      <c r="AB12" s="58">
        <v>0.49</v>
      </c>
      <c r="AC12" s="58">
        <v>0.43</v>
      </c>
      <c r="AD12" s="58">
        <v>0.43</v>
      </c>
      <c r="AE12" s="58">
        <v>0.44</v>
      </c>
      <c r="AF12" s="58">
        <v>0.54</v>
      </c>
      <c r="AG12" s="58">
        <v>0.38</v>
      </c>
      <c r="AH12" s="58">
        <v>0.44</v>
      </c>
      <c r="AI12" s="58">
        <v>0.5</v>
      </c>
      <c r="AJ12" s="58">
        <v>0.36</v>
      </c>
      <c r="AK12" s="58">
        <v>0.42</v>
      </c>
      <c r="AL12" s="57">
        <f t="shared" si="0"/>
        <v>0.43515151515151518</v>
      </c>
      <c r="AM12" s="34"/>
    </row>
    <row r="13" spans="1:39" s="11" customFormat="1" ht="58.05" customHeight="1" x14ac:dyDescent="0.3">
      <c r="A13" s="59"/>
      <c r="B13" s="25" t="s">
        <v>506</v>
      </c>
      <c r="C13" s="14" t="s">
        <v>507</v>
      </c>
      <c r="D13" s="57">
        <v>0.5</v>
      </c>
      <c r="E13" s="58">
        <v>0.43</v>
      </c>
      <c r="F13" s="58">
        <v>0.4</v>
      </c>
      <c r="G13" s="58">
        <v>0.37</v>
      </c>
      <c r="H13" s="58">
        <v>0.39</v>
      </c>
      <c r="I13" s="58">
        <v>0.38</v>
      </c>
      <c r="J13" s="58">
        <v>0.39</v>
      </c>
      <c r="K13" s="58">
        <v>0.44</v>
      </c>
      <c r="L13" s="58">
        <v>0.39</v>
      </c>
      <c r="M13" s="58">
        <v>0.38</v>
      </c>
      <c r="N13" s="58">
        <v>0.42</v>
      </c>
      <c r="O13" s="58">
        <v>0.49</v>
      </c>
      <c r="P13" s="58">
        <v>0.43</v>
      </c>
      <c r="Q13" s="58">
        <v>0.46</v>
      </c>
      <c r="R13" s="58">
        <v>0.35</v>
      </c>
      <c r="S13" s="58">
        <v>0.38</v>
      </c>
      <c r="T13" s="58">
        <v>0.37</v>
      </c>
      <c r="U13" s="58">
        <v>0.39</v>
      </c>
      <c r="V13" s="58">
        <v>0.32</v>
      </c>
      <c r="W13" s="58">
        <v>0.41</v>
      </c>
      <c r="X13" s="58">
        <v>0.37</v>
      </c>
      <c r="Y13" s="58">
        <v>0.35</v>
      </c>
      <c r="Z13" s="58">
        <v>0.39</v>
      </c>
      <c r="AA13" s="58">
        <v>0.41</v>
      </c>
      <c r="AB13" s="58">
        <v>0.46</v>
      </c>
      <c r="AC13" s="58">
        <v>0.34</v>
      </c>
      <c r="AD13" s="58">
        <v>0.34</v>
      </c>
      <c r="AE13" s="58">
        <v>0.44</v>
      </c>
      <c r="AF13" s="58">
        <v>0.43</v>
      </c>
      <c r="AG13" s="58">
        <v>0.37</v>
      </c>
      <c r="AH13" s="58">
        <v>0.42</v>
      </c>
      <c r="AI13" s="58">
        <v>0.42</v>
      </c>
      <c r="AJ13" s="58">
        <v>0.36</v>
      </c>
      <c r="AK13" s="58">
        <v>0.38</v>
      </c>
      <c r="AL13" s="57">
        <f t="shared" si="0"/>
        <v>0.39606060606060606</v>
      </c>
      <c r="AM13" s="34"/>
    </row>
    <row r="14" spans="1:39" s="11" customFormat="1" ht="58.05" customHeight="1" x14ac:dyDescent="0.3">
      <c r="A14" s="59"/>
      <c r="B14" s="25" t="s">
        <v>508</v>
      </c>
      <c r="C14" s="14" t="s">
        <v>509</v>
      </c>
      <c r="D14" s="57">
        <v>0.62</v>
      </c>
      <c r="E14" s="58">
        <v>0.56000000000000005</v>
      </c>
      <c r="F14" s="58">
        <v>0.51</v>
      </c>
      <c r="G14" s="58">
        <v>0.54</v>
      </c>
      <c r="H14" s="58">
        <v>0.47</v>
      </c>
      <c r="I14" s="58">
        <v>0.53</v>
      </c>
      <c r="J14" s="58">
        <v>0.55000000000000004</v>
      </c>
      <c r="K14" s="58">
        <v>0.61</v>
      </c>
      <c r="L14" s="58">
        <v>0.55000000000000004</v>
      </c>
      <c r="M14" s="58">
        <v>0.49</v>
      </c>
      <c r="N14" s="58">
        <v>0.54</v>
      </c>
      <c r="O14" s="58">
        <v>0.57999999999999996</v>
      </c>
      <c r="P14" s="58">
        <v>0.51</v>
      </c>
      <c r="Q14" s="58">
        <v>0.62</v>
      </c>
      <c r="R14" s="58">
        <v>0.46</v>
      </c>
      <c r="S14" s="58">
        <v>0.47</v>
      </c>
      <c r="T14" s="58">
        <v>0.55000000000000004</v>
      </c>
      <c r="U14" s="58">
        <v>0.5</v>
      </c>
      <c r="V14" s="58">
        <v>0.47</v>
      </c>
      <c r="W14" s="58">
        <v>0.5</v>
      </c>
      <c r="X14" s="58">
        <v>0.51</v>
      </c>
      <c r="Y14" s="58">
        <v>0.54</v>
      </c>
      <c r="Z14" s="58">
        <v>0.53</v>
      </c>
      <c r="AA14" s="58">
        <v>0.55000000000000004</v>
      </c>
      <c r="AB14" s="58">
        <v>0.53</v>
      </c>
      <c r="AC14" s="58">
        <v>0.49</v>
      </c>
      <c r="AD14" s="58">
        <v>0.47</v>
      </c>
      <c r="AE14" s="58">
        <v>0.53</v>
      </c>
      <c r="AF14" s="58">
        <v>0.56999999999999995</v>
      </c>
      <c r="AG14" s="58">
        <v>0.51</v>
      </c>
      <c r="AH14" s="58">
        <v>0.56999999999999995</v>
      </c>
      <c r="AI14" s="58">
        <v>0.61</v>
      </c>
      <c r="AJ14" s="58">
        <v>0.48</v>
      </c>
      <c r="AK14" s="58">
        <v>0.57999999999999996</v>
      </c>
      <c r="AL14" s="57">
        <f t="shared" si="0"/>
        <v>0.52969696969696967</v>
      </c>
      <c r="AM14" s="34"/>
    </row>
    <row r="15" spans="1:39" s="11" customFormat="1" ht="58.05" customHeight="1" x14ac:dyDescent="0.3">
      <c r="A15" s="59"/>
      <c r="B15" s="25" t="s">
        <v>510</v>
      </c>
      <c r="C15" s="14" t="s">
        <v>511</v>
      </c>
      <c r="D15" s="57">
        <v>0.61</v>
      </c>
      <c r="E15" s="58">
        <v>0.56000000000000005</v>
      </c>
      <c r="F15" s="58">
        <v>0.51</v>
      </c>
      <c r="G15" s="58">
        <v>0.53</v>
      </c>
      <c r="H15" s="58">
        <v>0.45</v>
      </c>
      <c r="I15" s="58">
        <v>0.45</v>
      </c>
      <c r="J15" s="58">
        <v>0.54</v>
      </c>
      <c r="K15" s="58">
        <v>0.57999999999999996</v>
      </c>
      <c r="L15" s="58">
        <v>0.5</v>
      </c>
      <c r="M15" s="58">
        <v>0.45</v>
      </c>
      <c r="N15" s="58">
        <v>0.56000000000000005</v>
      </c>
      <c r="O15" s="58">
        <v>0.54</v>
      </c>
      <c r="P15" s="58">
        <v>0.52</v>
      </c>
      <c r="Q15" s="58">
        <v>0.59</v>
      </c>
      <c r="R15" s="58">
        <v>0.45</v>
      </c>
      <c r="S15" s="58">
        <v>0.41</v>
      </c>
      <c r="T15" s="58">
        <v>0.5</v>
      </c>
      <c r="U15" s="58">
        <v>0.47</v>
      </c>
      <c r="V15" s="58">
        <v>0.49</v>
      </c>
      <c r="W15" s="58">
        <v>0.53</v>
      </c>
      <c r="X15" s="58">
        <v>0.55000000000000004</v>
      </c>
      <c r="Y15" s="58">
        <v>0.56000000000000005</v>
      </c>
      <c r="Z15" s="58">
        <v>0.52</v>
      </c>
      <c r="AA15" s="58">
        <v>0.51</v>
      </c>
      <c r="AB15" s="58">
        <v>0.56000000000000005</v>
      </c>
      <c r="AC15" s="58">
        <v>0.46</v>
      </c>
      <c r="AD15" s="58">
        <v>0.48</v>
      </c>
      <c r="AE15" s="58">
        <v>0.53</v>
      </c>
      <c r="AF15" s="58">
        <v>0.61</v>
      </c>
      <c r="AG15" s="58">
        <v>0.53</v>
      </c>
      <c r="AH15" s="58">
        <v>0.54</v>
      </c>
      <c r="AI15" s="58">
        <v>0.56000000000000005</v>
      </c>
      <c r="AJ15" s="58">
        <v>0.47</v>
      </c>
      <c r="AK15" s="58">
        <v>0.54</v>
      </c>
      <c r="AL15" s="57">
        <f t="shared" si="0"/>
        <v>0.51666666666666661</v>
      </c>
      <c r="AM15" s="34"/>
    </row>
    <row r="16" spans="1:39" s="11" customFormat="1" ht="58.05" customHeight="1" x14ac:dyDescent="0.3">
      <c r="A16" s="59"/>
      <c r="B16" s="25" t="s">
        <v>512</v>
      </c>
      <c r="C16" s="14" t="s">
        <v>513</v>
      </c>
      <c r="D16" s="57">
        <v>0.5</v>
      </c>
      <c r="E16" s="58">
        <v>0.44</v>
      </c>
      <c r="F16" s="58">
        <v>0.42</v>
      </c>
      <c r="G16" s="58">
        <v>0.4</v>
      </c>
      <c r="H16" s="58">
        <v>0.4</v>
      </c>
      <c r="I16" s="58">
        <v>0.38</v>
      </c>
      <c r="J16" s="58">
        <v>0.43</v>
      </c>
      <c r="K16" s="58">
        <v>0.46</v>
      </c>
      <c r="L16" s="58">
        <v>0.42</v>
      </c>
      <c r="M16" s="58">
        <v>0.41</v>
      </c>
      <c r="N16" s="58">
        <v>0.46</v>
      </c>
      <c r="O16" s="58">
        <v>0.49</v>
      </c>
      <c r="P16" s="58">
        <v>0.42</v>
      </c>
      <c r="Q16" s="58">
        <v>0.47</v>
      </c>
      <c r="R16" s="58">
        <v>0.38</v>
      </c>
      <c r="S16" s="58">
        <v>0.34</v>
      </c>
      <c r="T16" s="58">
        <v>0.38</v>
      </c>
      <c r="U16" s="58">
        <v>0.36</v>
      </c>
      <c r="V16" s="58">
        <v>0.38</v>
      </c>
      <c r="W16" s="58">
        <v>0.42</v>
      </c>
      <c r="X16" s="58">
        <v>0.42</v>
      </c>
      <c r="Y16" s="58">
        <v>0.42</v>
      </c>
      <c r="Z16" s="58">
        <v>0.45</v>
      </c>
      <c r="AA16" s="58">
        <v>0.38</v>
      </c>
      <c r="AB16" s="58">
        <v>0.43</v>
      </c>
      <c r="AC16" s="58">
        <v>0.39</v>
      </c>
      <c r="AD16" s="58">
        <v>0.36</v>
      </c>
      <c r="AE16" s="58">
        <v>0.41</v>
      </c>
      <c r="AF16" s="58">
        <v>0.52</v>
      </c>
      <c r="AG16" s="58">
        <v>0.4</v>
      </c>
      <c r="AH16" s="58">
        <v>0.46</v>
      </c>
      <c r="AI16" s="58">
        <v>0.47</v>
      </c>
      <c r="AJ16" s="58">
        <v>0.37</v>
      </c>
      <c r="AK16" s="58">
        <v>0.4</v>
      </c>
      <c r="AL16" s="57">
        <f t="shared" si="0"/>
        <v>0.41636363636363644</v>
      </c>
      <c r="AM16" s="34"/>
    </row>
    <row r="17" spans="1:39" s="11" customFormat="1" ht="58.05" customHeight="1" x14ac:dyDescent="0.3">
      <c r="A17" s="59"/>
      <c r="B17" s="25" t="s">
        <v>514</v>
      </c>
      <c r="C17" s="14" t="s">
        <v>515</v>
      </c>
      <c r="D17" s="57">
        <v>0.55000000000000004</v>
      </c>
      <c r="E17" s="58">
        <v>0.57999999999999996</v>
      </c>
      <c r="F17" s="58">
        <v>0.52</v>
      </c>
      <c r="G17" s="58">
        <v>0.54</v>
      </c>
      <c r="H17" s="58">
        <v>0.47</v>
      </c>
      <c r="I17" s="58">
        <v>0.5</v>
      </c>
      <c r="J17" s="58">
        <v>0.49</v>
      </c>
      <c r="K17" s="58">
        <v>0.57999999999999996</v>
      </c>
      <c r="L17" s="58">
        <v>0.55000000000000004</v>
      </c>
      <c r="M17" s="58">
        <v>0.42</v>
      </c>
      <c r="N17" s="58">
        <v>0.53</v>
      </c>
      <c r="O17" s="58">
        <v>0.52</v>
      </c>
      <c r="P17" s="58">
        <v>0.51</v>
      </c>
      <c r="Q17" s="58">
        <v>0.55000000000000004</v>
      </c>
      <c r="R17" s="58">
        <v>0.41</v>
      </c>
      <c r="S17" s="58">
        <v>0.42</v>
      </c>
      <c r="T17" s="58">
        <v>0.51</v>
      </c>
      <c r="U17" s="58">
        <v>0.46</v>
      </c>
      <c r="V17" s="58">
        <v>0.52</v>
      </c>
      <c r="W17" s="58">
        <v>0.51</v>
      </c>
      <c r="X17" s="58">
        <v>0.49</v>
      </c>
      <c r="Y17" s="58">
        <v>0.57999999999999996</v>
      </c>
      <c r="Z17" s="58">
        <v>0.5</v>
      </c>
      <c r="AA17" s="58">
        <v>0.46</v>
      </c>
      <c r="AB17" s="58">
        <v>0.53</v>
      </c>
      <c r="AC17" s="58">
        <v>0.49</v>
      </c>
      <c r="AD17" s="58">
        <v>0.5</v>
      </c>
      <c r="AE17" s="58">
        <v>0.52</v>
      </c>
      <c r="AF17" s="58">
        <v>0.56000000000000005</v>
      </c>
      <c r="AG17" s="58">
        <v>0.46</v>
      </c>
      <c r="AH17" s="58">
        <v>0.52</v>
      </c>
      <c r="AI17" s="58">
        <v>0.51</v>
      </c>
      <c r="AJ17" s="58">
        <v>0.48</v>
      </c>
      <c r="AK17" s="58">
        <v>0.52</v>
      </c>
      <c r="AL17" s="57">
        <f t="shared" si="0"/>
        <v>0.50636363636363635</v>
      </c>
      <c r="AM17" s="34"/>
    </row>
    <row r="18" spans="1:39" s="11" customFormat="1" ht="58.05" customHeight="1" x14ac:dyDescent="0.3">
      <c r="A18" s="59"/>
      <c r="B18" s="25" t="s">
        <v>516</v>
      </c>
      <c r="C18" s="14" t="s">
        <v>517</v>
      </c>
      <c r="D18" s="57">
        <v>0.55000000000000004</v>
      </c>
      <c r="E18" s="58">
        <v>0.48</v>
      </c>
      <c r="F18" s="58">
        <v>0.42</v>
      </c>
      <c r="G18" s="58">
        <v>0.42</v>
      </c>
      <c r="H18" s="58">
        <v>0.43</v>
      </c>
      <c r="I18" s="58">
        <v>0.42</v>
      </c>
      <c r="J18" s="58">
        <v>0.49</v>
      </c>
      <c r="K18" s="58">
        <v>0.49</v>
      </c>
      <c r="L18" s="58">
        <v>0.43</v>
      </c>
      <c r="M18" s="58">
        <v>0.41</v>
      </c>
      <c r="N18" s="58">
        <v>0.51</v>
      </c>
      <c r="O18" s="58">
        <v>0.54</v>
      </c>
      <c r="P18" s="58">
        <v>0.45</v>
      </c>
      <c r="Q18" s="58">
        <v>0.53</v>
      </c>
      <c r="R18" s="58">
        <v>0.38</v>
      </c>
      <c r="S18" s="58">
        <v>0.38</v>
      </c>
      <c r="T18" s="58">
        <v>0.44</v>
      </c>
      <c r="U18" s="58">
        <v>0.43</v>
      </c>
      <c r="V18" s="58">
        <v>0.39</v>
      </c>
      <c r="W18" s="58">
        <v>0.4</v>
      </c>
      <c r="X18" s="58">
        <v>0.45</v>
      </c>
      <c r="Y18" s="58">
        <v>0.46</v>
      </c>
      <c r="Z18" s="58">
        <v>0.48</v>
      </c>
      <c r="AA18" s="58">
        <v>0.44</v>
      </c>
      <c r="AB18" s="58">
        <v>0.45</v>
      </c>
      <c r="AC18" s="58">
        <v>0.42</v>
      </c>
      <c r="AD18" s="58">
        <v>0.37</v>
      </c>
      <c r="AE18" s="58">
        <v>0.41</v>
      </c>
      <c r="AF18" s="58">
        <v>0.5</v>
      </c>
      <c r="AG18" s="58">
        <v>0.43</v>
      </c>
      <c r="AH18" s="58">
        <v>0.44</v>
      </c>
      <c r="AI18" s="58">
        <v>0.48</v>
      </c>
      <c r="AJ18" s="58">
        <v>0.41</v>
      </c>
      <c r="AK18" s="58">
        <v>0.44</v>
      </c>
      <c r="AL18" s="57">
        <f t="shared" si="0"/>
        <v>0.443030303030303</v>
      </c>
      <c r="AM18" s="34"/>
    </row>
    <row r="20" spans="1:39" s="11" customFormat="1" ht="15.6" x14ac:dyDescent="0.3">
      <c r="A20" s="35" t="s">
        <v>779</v>
      </c>
    </row>
    <row r="21" spans="1:39" s="11" customFormat="1" ht="31.2" x14ac:dyDescent="0.3">
      <c r="A21" s="12" t="s">
        <v>479</v>
      </c>
      <c r="E21" s="12" t="str">
        <f>Districts_Setup!$B$4</f>
        <v>Ahmedabad</v>
      </c>
      <c r="F21" s="12" t="str">
        <f>Districts_Setup!$B$5</f>
        <v>Amreli</v>
      </c>
      <c r="G21" s="12" t="str">
        <f>Districts_Setup!$B$6</f>
        <v>Anand</v>
      </c>
      <c r="H21" s="12" t="str">
        <f>Districts_Setup!$B$7</f>
        <v>Aravalli</v>
      </c>
      <c r="I21" s="12" t="str">
        <f>Districts_Setup!$B$8</f>
        <v>Banaskantha</v>
      </c>
      <c r="J21" s="12" t="str">
        <f>Districts_Setup!$B$9</f>
        <v>Bharuch</v>
      </c>
      <c r="K21" s="12" t="str">
        <f>Districts_Setup!$B$10</f>
        <v>Bhavnagar</v>
      </c>
      <c r="L21" s="12" t="str">
        <f>Districts_Setup!$B$11</f>
        <v>Botad</v>
      </c>
      <c r="M21" s="12" t="str">
        <f>Districts_Setup!$B$12</f>
        <v>Chhota Udepur</v>
      </c>
      <c r="N21" s="12" t="str">
        <f>Districts_Setup!$B$13</f>
        <v>Dahod</v>
      </c>
      <c r="O21" s="12" t="str">
        <f>Districts_Setup!$B$14</f>
        <v>Dang</v>
      </c>
      <c r="P21" s="12" t="str">
        <f>Districts_Setup!$B$15</f>
        <v>Devbhoomi Dwarka</v>
      </c>
      <c r="Q21" s="12" t="str">
        <f>Districts_Setup!$B$16</f>
        <v>Gandhinagar</v>
      </c>
      <c r="R21" s="12" t="str">
        <f>Districts_Setup!$B$17</f>
        <v>Gir Somnath</v>
      </c>
      <c r="S21" s="12" t="str">
        <f>Districts_Setup!$B$18</f>
        <v>Jamnagar</v>
      </c>
      <c r="T21" s="12" t="str">
        <f>Districts_Setup!$B$19</f>
        <v>Junagadh</v>
      </c>
      <c r="U21" s="12" t="str">
        <f>Districts_Setup!$B$20</f>
        <v>Kutch</v>
      </c>
      <c r="V21" s="12" t="str">
        <f>Districts_Setup!$B$21</f>
        <v>Kheda</v>
      </c>
      <c r="W21" s="12" t="str">
        <f>Districts_Setup!$B$22</f>
        <v>Mahisagar</v>
      </c>
      <c r="X21" s="12" t="str">
        <f>Districts_Setup!$B$23</f>
        <v>Mehsana</v>
      </c>
      <c r="Y21" s="12" t="str">
        <f>Districts_Setup!$B$24</f>
        <v>Morbi</v>
      </c>
      <c r="Z21" s="12" t="str">
        <f>Districts_Setup!$B$25</f>
        <v>Narmada</v>
      </c>
      <c r="AA21" s="12" t="str">
        <f>Districts_Setup!$B$26</f>
        <v>Navsari</v>
      </c>
      <c r="AB21" s="12" t="str">
        <f>Districts_Setup!$B$27</f>
        <v>Panchmahal</v>
      </c>
      <c r="AC21" s="12" t="str">
        <f>Districts_Setup!$B$28</f>
        <v>Patan</v>
      </c>
      <c r="AD21" s="12" t="str">
        <f>Districts_Setup!$B$29</f>
        <v>Porbandar</v>
      </c>
      <c r="AE21" s="12" t="str">
        <f>Districts_Setup!$B$30</f>
        <v>Rajkot</v>
      </c>
      <c r="AF21" s="12" t="str">
        <f>Districts_Setup!$B$31</f>
        <v>Sabarkantha</v>
      </c>
      <c r="AG21" s="12" t="str">
        <f>Districts_Setup!$B$32</f>
        <v>Surat</v>
      </c>
      <c r="AH21" s="12" t="str">
        <f>Districts_Setup!$B$33</f>
        <v>Surendranagar</v>
      </c>
      <c r="AI21" s="12" t="str">
        <f>Districts_Setup!$B$34</f>
        <v>Tapi</v>
      </c>
      <c r="AJ21" s="12" t="str">
        <f>Districts_Setup!$B$35</f>
        <v>Vadodara</v>
      </c>
      <c r="AK21" s="12" t="str">
        <f>Districts_Setup!$B$36</f>
        <v>Valsad</v>
      </c>
      <c r="AL21" s="36" t="s">
        <v>518</v>
      </c>
    </row>
    <row r="22" spans="1:39" s="11" customFormat="1" ht="15.6" x14ac:dyDescent="0.3">
      <c r="A22" s="18" t="s">
        <v>485</v>
      </c>
      <c r="E22" s="57">
        <f t="shared" ref="E22:AK22" si="1">IFERROR(AVERAGE(E4:E6),0)</f>
        <v>0.59</v>
      </c>
      <c r="F22" s="57">
        <f t="shared" si="1"/>
        <v>0.54666666666666663</v>
      </c>
      <c r="G22" s="57">
        <f t="shared" si="1"/>
        <v>0.57333333333333336</v>
      </c>
      <c r="H22" s="57">
        <f t="shared" si="1"/>
        <v>0.51</v>
      </c>
      <c r="I22" s="57">
        <f t="shared" si="1"/>
        <v>0.53666666666666663</v>
      </c>
      <c r="J22" s="57">
        <f t="shared" si="1"/>
        <v>0.57666666666666666</v>
      </c>
      <c r="K22" s="57">
        <f t="shared" si="1"/>
        <v>0.62333333333333341</v>
      </c>
      <c r="L22" s="57">
        <f t="shared" si="1"/>
        <v>0.57666666666666666</v>
      </c>
      <c r="M22" s="57">
        <f t="shared" si="1"/>
        <v>0.5033333333333333</v>
      </c>
      <c r="N22" s="57">
        <f t="shared" si="1"/>
        <v>0.59333333333333338</v>
      </c>
      <c r="O22" s="57">
        <f t="shared" si="1"/>
        <v>0.59</v>
      </c>
      <c r="P22" s="57">
        <f t="shared" si="1"/>
        <v>0.56666666666666676</v>
      </c>
      <c r="Q22" s="57">
        <f t="shared" si="1"/>
        <v>0.62666666666666659</v>
      </c>
      <c r="R22" s="57">
        <f t="shared" si="1"/>
        <v>0.49333333333333335</v>
      </c>
      <c r="S22" s="57">
        <f t="shared" si="1"/>
        <v>0.47666666666666663</v>
      </c>
      <c r="T22" s="57">
        <f t="shared" si="1"/>
        <v>0.56666666666666654</v>
      </c>
      <c r="U22" s="57">
        <f t="shared" si="1"/>
        <v>0.5033333333333333</v>
      </c>
      <c r="V22" s="57">
        <f t="shared" si="1"/>
        <v>0.50666666666666671</v>
      </c>
      <c r="W22" s="57">
        <f t="shared" si="1"/>
        <v>0.58000000000000007</v>
      </c>
      <c r="X22" s="57">
        <f t="shared" si="1"/>
        <v>0.56666666666666665</v>
      </c>
      <c r="Y22" s="57">
        <f t="shared" si="1"/>
        <v>0.59</v>
      </c>
      <c r="Z22" s="57">
        <f t="shared" si="1"/>
        <v>0.57333333333333325</v>
      </c>
      <c r="AA22" s="57">
        <f t="shared" si="1"/>
        <v>0.54333333333333333</v>
      </c>
      <c r="AB22" s="57">
        <f t="shared" si="1"/>
        <v>0.57666666666666666</v>
      </c>
      <c r="AC22" s="57">
        <f t="shared" si="1"/>
        <v>0.52666666666666662</v>
      </c>
      <c r="AD22" s="57">
        <f t="shared" si="1"/>
        <v>0.5</v>
      </c>
      <c r="AE22" s="57">
        <f t="shared" si="1"/>
        <v>0.56333333333333335</v>
      </c>
      <c r="AF22" s="57">
        <f t="shared" si="1"/>
        <v>0.61333333333333329</v>
      </c>
      <c r="AG22" s="57">
        <f t="shared" si="1"/>
        <v>0.54666666666666663</v>
      </c>
      <c r="AH22" s="57">
        <f t="shared" si="1"/>
        <v>0.61</v>
      </c>
      <c r="AI22" s="57">
        <f t="shared" si="1"/>
        <v>0.61333333333333329</v>
      </c>
      <c r="AJ22" s="57">
        <f t="shared" si="1"/>
        <v>0.51333333333333331</v>
      </c>
      <c r="AK22" s="57">
        <f t="shared" si="1"/>
        <v>0.58000000000000007</v>
      </c>
      <c r="AL22" s="60">
        <f>IFERROR(AVERAGE(D4:D6),0)</f>
        <v>0.62666666666666659</v>
      </c>
    </row>
    <row r="23" spans="1:39" s="11" customFormat="1" ht="15.6" x14ac:dyDescent="0.3">
      <c r="A23" s="18" t="s">
        <v>493</v>
      </c>
      <c r="E23" s="57">
        <f t="shared" ref="E23:AK23" si="2">IFERROR(AVERAGE(E7:E18),0)</f>
        <v>0.53000000000000014</v>
      </c>
      <c r="F23" s="57">
        <f t="shared" si="2"/>
        <v>0.48749999999999999</v>
      </c>
      <c r="G23" s="57">
        <f t="shared" si="2"/>
        <v>0.49833333333333335</v>
      </c>
      <c r="H23" s="57">
        <f t="shared" si="2"/>
        <v>0.46583333333333332</v>
      </c>
      <c r="I23" s="57">
        <f t="shared" si="2"/>
        <v>0.48083333333333328</v>
      </c>
      <c r="J23" s="57">
        <f t="shared" si="2"/>
        <v>0.51416666666666677</v>
      </c>
      <c r="K23" s="57">
        <f t="shared" si="2"/>
        <v>0.5541666666666667</v>
      </c>
      <c r="L23" s="57">
        <f t="shared" si="2"/>
        <v>0.50583333333333325</v>
      </c>
      <c r="M23" s="57">
        <f t="shared" si="2"/>
        <v>0.45250000000000007</v>
      </c>
      <c r="N23" s="57">
        <f t="shared" si="2"/>
        <v>0.53166666666666673</v>
      </c>
      <c r="O23" s="57">
        <f t="shared" si="2"/>
        <v>0.54583333333333328</v>
      </c>
      <c r="P23" s="57">
        <f t="shared" si="2"/>
        <v>0.50583333333333347</v>
      </c>
      <c r="Q23" s="57">
        <f t="shared" si="2"/>
        <v>0.57499999999999996</v>
      </c>
      <c r="R23" s="57">
        <f t="shared" si="2"/>
        <v>0.435</v>
      </c>
      <c r="S23" s="57">
        <f t="shared" si="2"/>
        <v>0.43083333333333323</v>
      </c>
      <c r="T23" s="57">
        <f t="shared" si="2"/>
        <v>0.49</v>
      </c>
      <c r="U23" s="57">
        <f t="shared" si="2"/>
        <v>0.46416666666666667</v>
      </c>
      <c r="V23" s="57">
        <f t="shared" si="2"/>
        <v>0.44666666666666671</v>
      </c>
      <c r="W23" s="57">
        <f t="shared" si="2"/>
        <v>0.49833333333333335</v>
      </c>
      <c r="X23" s="57">
        <f t="shared" si="2"/>
        <v>0.50250000000000006</v>
      </c>
      <c r="Y23" s="57">
        <f t="shared" si="2"/>
        <v>0.51416666666666677</v>
      </c>
      <c r="Z23" s="57">
        <f t="shared" si="2"/>
        <v>0.505</v>
      </c>
      <c r="AA23" s="57">
        <f t="shared" si="2"/>
        <v>0.49</v>
      </c>
      <c r="AB23" s="57">
        <f t="shared" si="2"/>
        <v>0.52333333333333343</v>
      </c>
      <c r="AC23" s="57">
        <f t="shared" si="2"/>
        <v>0.46833333333333332</v>
      </c>
      <c r="AD23" s="57">
        <f t="shared" si="2"/>
        <v>0.45833333333333331</v>
      </c>
      <c r="AE23" s="57">
        <f t="shared" si="2"/>
        <v>0.50083333333333335</v>
      </c>
      <c r="AF23" s="57">
        <f t="shared" si="2"/>
        <v>0.56250000000000011</v>
      </c>
      <c r="AG23" s="57">
        <f t="shared" si="2"/>
        <v>0.48000000000000004</v>
      </c>
      <c r="AH23" s="57">
        <f t="shared" si="2"/>
        <v>0.53166666666666662</v>
      </c>
      <c r="AI23" s="57">
        <f t="shared" si="2"/>
        <v>0.55583333333333329</v>
      </c>
      <c r="AJ23" s="57">
        <f t="shared" si="2"/>
        <v>0.46166666666666661</v>
      </c>
      <c r="AK23" s="57">
        <f t="shared" si="2"/>
        <v>0.51333333333333342</v>
      </c>
      <c r="AL23" s="60">
        <f>IFERROR(AVERAGE(D7:D18),0)</f>
        <v>0.58166666666666667</v>
      </c>
    </row>
    <row r="24" spans="1:39" s="11" customFormat="1" ht="62.4" x14ac:dyDescent="0.3">
      <c r="A24" s="41" t="s">
        <v>519</v>
      </c>
      <c r="E24" s="61">
        <f t="shared" ref="E24:AL24" si="3">IFERROR(AVERAGE(E22:E23),0)</f>
        <v>0.56000000000000005</v>
      </c>
      <c r="F24" s="61">
        <f t="shared" si="3"/>
        <v>0.51708333333333334</v>
      </c>
      <c r="G24" s="61">
        <f t="shared" si="3"/>
        <v>0.53583333333333338</v>
      </c>
      <c r="H24" s="61">
        <f t="shared" si="3"/>
        <v>0.48791666666666667</v>
      </c>
      <c r="I24" s="61">
        <f t="shared" si="3"/>
        <v>0.50874999999999992</v>
      </c>
      <c r="J24" s="61">
        <f t="shared" si="3"/>
        <v>0.54541666666666666</v>
      </c>
      <c r="K24" s="61">
        <f t="shared" si="3"/>
        <v>0.58875000000000011</v>
      </c>
      <c r="L24" s="61">
        <f t="shared" si="3"/>
        <v>0.54125000000000001</v>
      </c>
      <c r="M24" s="61">
        <f t="shared" si="3"/>
        <v>0.47791666666666666</v>
      </c>
      <c r="N24" s="61">
        <f t="shared" si="3"/>
        <v>0.5625</v>
      </c>
      <c r="O24" s="61">
        <f t="shared" si="3"/>
        <v>0.56791666666666663</v>
      </c>
      <c r="P24" s="61">
        <f t="shared" si="3"/>
        <v>0.53625000000000012</v>
      </c>
      <c r="Q24" s="61">
        <f t="shared" si="3"/>
        <v>0.60083333333333333</v>
      </c>
      <c r="R24" s="61">
        <f t="shared" si="3"/>
        <v>0.46416666666666667</v>
      </c>
      <c r="S24" s="61">
        <f t="shared" si="3"/>
        <v>0.45374999999999993</v>
      </c>
      <c r="T24" s="61">
        <f t="shared" si="3"/>
        <v>0.52833333333333332</v>
      </c>
      <c r="U24" s="61">
        <f t="shared" si="3"/>
        <v>0.48375000000000001</v>
      </c>
      <c r="V24" s="61">
        <f t="shared" si="3"/>
        <v>0.47666666666666668</v>
      </c>
      <c r="W24" s="61">
        <f t="shared" si="3"/>
        <v>0.53916666666666668</v>
      </c>
      <c r="X24" s="61">
        <f t="shared" si="3"/>
        <v>0.53458333333333341</v>
      </c>
      <c r="Y24" s="61">
        <f t="shared" si="3"/>
        <v>0.55208333333333337</v>
      </c>
      <c r="Z24" s="61">
        <f t="shared" si="3"/>
        <v>0.53916666666666657</v>
      </c>
      <c r="AA24" s="61">
        <f t="shared" si="3"/>
        <v>0.51666666666666661</v>
      </c>
      <c r="AB24" s="61">
        <f t="shared" si="3"/>
        <v>0.55000000000000004</v>
      </c>
      <c r="AC24" s="61">
        <f t="shared" si="3"/>
        <v>0.49749999999999994</v>
      </c>
      <c r="AD24" s="61">
        <f t="shared" si="3"/>
        <v>0.47916666666666663</v>
      </c>
      <c r="AE24" s="61">
        <f t="shared" si="3"/>
        <v>0.53208333333333335</v>
      </c>
      <c r="AF24" s="61">
        <f t="shared" si="3"/>
        <v>0.58791666666666664</v>
      </c>
      <c r="AG24" s="61">
        <f t="shared" si="3"/>
        <v>0.51333333333333331</v>
      </c>
      <c r="AH24" s="61">
        <f t="shared" si="3"/>
        <v>0.5708333333333333</v>
      </c>
      <c r="AI24" s="61">
        <f t="shared" si="3"/>
        <v>0.58458333333333323</v>
      </c>
      <c r="AJ24" s="61">
        <f t="shared" si="3"/>
        <v>0.48749999999999993</v>
      </c>
      <c r="AK24" s="61">
        <f t="shared" si="3"/>
        <v>0.54666666666666675</v>
      </c>
      <c r="AL24" s="62">
        <f t="shared" si="3"/>
        <v>0.60416666666666663</v>
      </c>
    </row>
  </sheetData>
  <mergeCells count="2">
    <mergeCell ref="A1:AM1"/>
    <mergeCell ref="A2:AM2"/>
  </mergeCells>
  <conditionalFormatting sqref="E22:AK23">
    <cfRule type="colorScale" priority="2">
      <colorScale>
        <cfvo type="min"/>
        <cfvo type="percentile" val="50"/>
        <cfvo type="max"/>
        <color rgb="FFF4CCCC"/>
        <color rgb="FFFFF2CC"/>
        <color rgb="FFD9EAD3"/>
      </colorScale>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AM33"/>
  <sheetViews>
    <sheetView showGridLines="0" zoomScaleNormal="100" workbookViewId="0">
      <selection activeCell="E33" sqref="E33:AK33"/>
    </sheetView>
  </sheetViews>
  <sheetFormatPr defaultColWidth="8.6640625" defaultRowHeight="14.4" x14ac:dyDescent="0.3"/>
  <cols>
    <col min="1" max="1" width="22" style="6" customWidth="1"/>
    <col min="2" max="2" width="12" style="6" customWidth="1"/>
    <col min="3" max="3" width="50" style="6" customWidth="1"/>
    <col min="4" max="4" width="13" style="6" customWidth="1"/>
    <col min="5" max="37" width="14.109375" style="6" customWidth="1"/>
    <col min="38" max="38" width="12" style="6" customWidth="1"/>
    <col min="39" max="39" width="50" style="6" customWidth="1"/>
    <col min="40" max="16384" width="8.6640625" style="6"/>
  </cols>
  <sheetData>
    <row r="1" spans="1:39" ht="25.5" customHeight="1" x14ac:dyDescent="0.3">
      <c r="A1" s="86" t="s">
        <v>780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row>
    <row r="2" spans="1:39" ht="15.6" x14ac:dyDescent="0.3">
      <c r="A2" s="80" t="s">
        <v>478</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row>
    <row r="3" spans="1:39" s="11" customFormat="1" ht="31.5" customHeight="1" x14ac:dyDescent="0.3">
      <c r="A3" s="43" t="s">
        <v>479</v>
      </c>
      <c r="B3" s="43" t="s">
        <v>480</v>
      </c>
      <c r="C3" s="43" t="s">
        <v>481</v>
      </c>
      <c r="D3" s="43" t="s">
        <v>482</v>
      </c>
      <c r="E3" s="43" t="str">
        <f>Districts_Setup!$B$4</f>
        <v>Ahmedabad</v>
      </c>
      <c r="F3" s="43" t="str">
        <f>Districts_Setup!$B$5</f>
        <v>Amreli</v>
      </c>
      <c r="G3" s="43" t="str">
        <f>Districts_Setup!$B$6</f>
        <v>Anand</v>
      </c>
      <c r="H3" s="43" t="str">
        <f>Districts_Setup!$B$7</f>
        <v>Aravalli</v>
      </c>
      <c r="I3" s="43" t="str">
        <f>Districts_Setup!$B$8</f>
        <v>Banaskantha</v>
      </c>
      <c r="J3" s="43" t="str">
        <f>Districts_Setup!$B$9</f>
        <v>Bharuch</v>
      </c>
      <c r="K3" s="43" t="str">
        <f>Districts_Setup!$B$10</f>
        <v>Bhavnagar</v>
      </c>
      <c r="L3" s="43" t="str">
        <f>Districts_Setup!$B$11</f>
        <v>Botad</v>
      </c>
      <c r="M3" s="43" t="str">
        <f>Districts_Setup!$B$12</f>
        <v>Chhota Udepur</v>
      </c>
      <c r="N3" s="43" t="str">
        <f>Districts_Setup!$B$13</f>
        <v>Dahod</v>
      </c>
      <c r="O3" s="43" t="str">
        <f>Districts_Setup!$B$14</f>
        <v>Dang</v>
      </c>
      <c r="P3" s="43" t="str">
        <f>Districts_Setup!$B$15</f>
        <v>Devbhoomi Dwarka</v>
      </c>
      <c r="Q3" s="43" t="str">
        <f>Districts_Setup!$B$16</f>
        <v>Gandhinagar</v>
      </c>
      <c r="R3" s="43" t="str">
        <f>Districts_Setup!$B$17</f>
        <v>Gir Somnath</v>
      </c>
      <c r="S3" s="43" t="str">
        <f>Districts_Setup!$B$18</f>
        <v>Jamnagar</v>
      </c>
      <c r="T3" s="43" t="str">
        <f>Districts_Setup!$B$19</f>
        <v>Junagadh</v>
      </c>
      <c r="U3" s="43" t="str">
        <f>Districts_Setup!$B$20</f>
        <v>Kutch</v>
      </c>
      <c r="V3" s="43" t="str">
        <f>Districts_Setup!$B$21</f>
        <v>Kheda</v>
      </c>
      <c r="W3" s="43" t="str">
        <f>Districts_Setup!$B$22</f>
        <v>Mahisagar</v>
      </c>
      <c r="X3" s="43" t="str">
        <f>Districts_Setup!$B$23</f>
        <v>Mehsana</v>
      </c>
      <c r="Y3" s="43" t="str">
        <f>Districts_Setup!$B$24</f>
        <v>Morbi</v>
      </c>
      <c r="Z3" s="43" t="str">
        <f>Districts_Setup!$B$25</f>
        <v>Narmada</v>
      </c>
      <c r="AA3" s="43" t="str">
        <f>Districts_Setup!$B$26</f>
        <v>Navsari</v>
      </c>
      <c r="AB3" s="43" t="str">
        <f>Districts_Setup!$B$27</f>
        <v>Panchmahal</v>
      </c>
      <c r="AC3" s="43" t="str">
        <f>Districts_Setup!$B$28</f>
        <v>Patan</v>
      </c>
      <c r="AD3" s="43" t="str">
        <f>Districts_Setup!$B$29</f>
        <v>Porbandar</v>
      </c>
      <c r="AE3" s="43" t="str">
        <f>Districts_Setup!$B$30</f>
        <v>Rajkot</v>
      </c>
      <c r="AF3" s="43" t="str">
        <f>Districts_Setup!$B$31</f>
        <v>Sabarkantha</v>
      </c>
      <c r="AG3" s="43" t="str">
        <f>Districts_Setup!$B$32</f>
        <v>Surat</v>
      </c>
      <c r="AH3" s="43" t="str">
        <f>Districts_Setup!$B$33</f>
        <v>Surendranagar</v>
      </c>
      <c r="AI3" s="43" t="str">
        <f>Districts_Setup!$B$34</f>
        <v>Tapi</v>
      </c>
      <c r="AJ3" s="43" t="str">
        <f>Districts_Setup!$B$35</f>
        <v>Vadodara</v>
      </c>
      <c r="AK3" s="43" t="str">
        <f>Districts_Setup!$B$36</f>
        <v>Valsad</v>
      </c>
      <c r="AL3" s="36" t="s">
        <v>483</v>
      </c>
      <c r="AM3" s="36" t="s">
        <v>484</v>
      </c>
    </row>
    <row r="4" spans="1:39" s="11" customFormat="1" ht="76.05" customHeight="1" x14ac:dyDescent="0.3">
      <c r="A4" s="56" t="s">
        <v>485</v>
      </c>
      <c r="B4" s="25" t="s">
        <v>520</v>
      </c>
      <c r="C4" s="14" t="s">
        <v>521</v>
      </c>
      <c r="D4" s="57">
        <v>0.56000000000000005</v>
      </c>
      <c r="E4" s="58">
        <v>0.5</v>
      </c>
      <c r="F4" s="58">
        <v>0.47</v>
      </c>
      <c r="G4" s="58">
        <v>0.52</v>
      </c>
      <c r="H4" s="58">
        <v>0.47</v>
      </c>
      <c r="I4" s="58">
        <v>0.51</v>
      </c>
      <c r="J4" s="58">
        <v>0.44</v>
      </c>
      <c r="K4" s="58">
        <v>0.51</v>
      </c>
      <c r="L4" s="58">
        <v>0.49</v>
      </c>
      <c r="M4" s="58">
        <v>0.44</v>
      </c>
      <c r="N4" s="58">
        <v>0.48</v>
      </c>
      <c r="O4" s="58">
        <v>0.53</v>
      </c>
      <c r="P4" s="58">
        <v>0.54</v>
      </c>
      <c r="Q4" s="58">
        <v>0.54</v>
      </c>
      <c r="R4" s="58">
        <v>0.44</v>
      </c>
      <c r="S4" s="58">
        <v>0.5</v>
      </c>
      <c r="T4" s="58">
        <v>0.54</v>
      </c>
      <c r="U4" s="58">
        <v>0.5</v>
      </c>
      <c r="V4" s="58">
        <v>0.47</v>
      </c>
      <c r="W4" s="58">
        <v>0.48</v>
      </c>
      <c r="X4" s="58">
        <v>0.53</v>
      </c>
      <c r="Y4" s="58">
        <v>0.49</v>
      </c>
      <c r="Z4" s="58">
        <v>0.48</v>
      </c>
      <c r="AA4" s="58">
        <v>0.5</v>
      </c>
      <c r="AB4" s="58">
        <v>0.5</v>
      </c>
      <c r="AC4" s="58">
        <v>0.51</v>
      </c>
      <c r="AD4" s="58">
        <v>0.49</v>
      </c>
      <c r="AE4" s="58">
        <v>0.48</v>
      </c>
      <c r="AF4" s="58">
        <v>0.48</v>
      </c>
      <c r="AG4" s="58">
        <v>0.53</v>
      </c>
      <c r="AH4" s="58">
        <v>0.56000000000000005</v>
      </c>
      <c r="AI4" s="58">
        <v>0.52</v>
      </c>
      <c r="AJ4" s="58">
        <v>0.53</v>
      </c>
      <c r="AK4" s="58">
        <v>0.5</v>
      </c>
      <c r="AL4" s="57">
        <f t="shared" ref="AL4:AL26" si="0">IFERROR(AVERAGE(E4:AK4),0)</f>
        <v>0.49909090909090914</v>
      </c>
      <c r="AM4" s="34" t="s">
        <v>488</v>
      </c>
    </row>
    <row r="5" spans="1:39" s="11" customFormat="1" ht="76.05" customHeight="1" x14ac:dyDescent="0.3">
      <c r="A5" s="59"/>
      <c r="B5" s="25" t="s">
        <v>522</v>
      </c>
      <c r="C5" s="14" t="s">
        <v>523</v>
      </c>
      <c r="D5" s="57">
        <v>0.57999999999999996</v>
      </c>
      <c r="E5" s="58">
        <v>0.53</v>
      </c>
      <c r="F5" s="58">
        <v>0.49</v>
      </c>
      <c r="G5" s="58">
        <v>0.55000000000000004</v>
      </c>
      <c r="H5" s="58">
        <v>0.51</v>
      </c>
      <c r="I5" s="58">
        <v>0.54</v>
      </c>
      <c r="J5" s="58">
        <v>0.47</v>
      </c>
      <c r="K5" s="58">
        <v>0.54</v>
      </c>
      <c r="L5" s="58">
        <v>0.52</v>
      </c>
      <c r="M5" s="58">
        <v>0.46</v>
      </c>
      <c r="N5" s="58">
        <v>0.5</v>
      </c>
      <c r="O5" s="58">
        <v>0.55000000000000004</v>
      </c>
      <c r="P5" s="58">
        <v>0.57999999999999996</v>
      </c>
      <c r="Q5" s="58">
        <v>0.55000000000000004</v>
      </c>
      <c r="R5" s="58">
        <v>0.47</v>
      </c>
      <c r="S5" s="58">
        <v>0.52</v>
      </c>
      <c r="T5" s="58">
        <v>0.56999999999999995</v>
      </c>
      <c r="U5" s="58">
        <v>0.53</v>
      </c>
      <c r="V5" s="58">
        <v>0.47</v>
      </c>
      <c r="W5" s="58">
        <v>0.51</v>
      </c>
      <c r="X5" s="58">
        <v>0.57999999999999996</v>
      </c>
      <c r="Y5" s="58">
        <v>0.52</v>
      </c>
      <c r="Z5" s="58">
        <v>0.48</v>
      </c>
      <c r="AA5" s="58">
        <v>0.54</v>
      </c>
      <c r="AB5" s="58">
        <v>0.54</v>
      </c>
      <c r="AC5" s="58">
        <v>0.53</v>
      </c>
      <c r="AD5" s="58">
        <v>0.54</v>
      </c>
      <c r="AE5" s="58">
        <v>0.5</v>
      </c>
      <c r="AF5" s="58">
        <v>0.5</v>
      </c>
      <c r="AG5" s="58">
        <v>0.56000000000000005</v>
      </c>
      <c r="AH5" s="58">
        <v>0.56999999999999995</v>
      </c>
      <c r="AI5" s="58">
        <v>0.56000000000000005</v>
      </c>
      <c r="AJ5" s="58">
        <v>0.54</v>
      </c>
      <c r="AK5" s="58">
        <v>0.53</v>
      </c>
      <c r="AL5" s="57">
        <f t="shared" si="0"/>
        <v>0.52575757575757576</v>
      </c>
      <c r="AM5" s="34"/>
    </row>
    <row r="6" spans="1:39" s="11" customFormat="1" ht="76.05" customHeight="1" x14ac:dyDescent="0.3">
      <c r="A6" s="56" t="s">
        <v>493</v>
      </c>
      <c r="B6" s="25" t="s">
        <v>524</v>
      </c>
      <c r="C6" s="14" t="s">
        <v>525</v>
      </c>
      <c r="D6" s="57">
        <v>0.54</v>
      </c>
      <c r="E6" s="58">
        <v>0.55000000000000004</v>
      </c>
      <c r="F6" s="58">
        <v>0.43</v>
      </c>
      <c r="G6" s="58">
        <v>0.54</v>
      </c>
      <c r="H6" s="58">
        <v>0.5</v>
      </c>
      <c r="I6" s="58">
        <v>0.53</v>
      </c>
      <c r="J6" s="58">
        <v>0.48</v>
      </c>
      <c r="K6" s="58">
        <v>0.53</v>
      </c>
      <c r="L6" s="58">
        <v>0.49</v>
      </c>
      <c r="M6" s="58">
        <v>0.42</v>
      </c>
      <c r="N6" s="58">
        <v>0.5</v>
      </c>
      <c r="O6" s="58">
        <v>0.49</v>
      </c>
      <c r="P6" s="58">
        <v>0.56000000000000005</v>
      </c>
      <c r="Q6" s="58">
        <v>0.55000000000000004</v>
      </c>
      <c r="R6" s="58">
        <v>0.51</v>
      </c>
      <c r="S6" s="58">
        <v>0.51</v>
      </c>
      <c r="T6" s="58">
        <v>0.59</v>
      </c>
      <c r="U6" s="58">
        <v>0.51</v>
      </c>
      <c r="V6" s="58">
        <v>0.44</v>
      </c>
      <c r="W6" s="58">
        <v>0.49</v>
      </c>
      <c r="X6" s="58">
        <v>0.56000000000000005</v>
      </c>
      <c r="Y6" s="58">
        <v>0.59</v>
      </c>
      <c r="Z6" s="58">
        <v>0.49</v>
      </c>
      <c r="AA6" s="58">
        <v>0.55000000000000004</v>
      </c>
      <c r="AB6" s="58">
        <v>0.53</v>
      </c>
      <c r="AC6" s="58">
        <v>0.52</v>
      </c>
      <c r="AD6" s="58">
        <v>0.53</v>
      </c>
      <c r="AE6" s="58">
        <v>0.51</v>
      </c>
      <c r="AF6" s="58">
        <v>0.49</v>
      </c>
      <c r="AG6" s="58">
        <v>0.56000000000000005</v>
      </c>
      <c r="AH6" s="58">
        <v>0.59</v>
      </c>
      <c r="AI6" s="58">
        <v>0.56000000000000005</v>
      </c>
      <c r="AJ6" s="58">
        <v>0.55000000000000004</v>
      </c>
      <c r="AK6" s="58">
        <v>0.54</v>
      </c>
      <c r="AL6" s="57">
        <f t="shared" si="0"/>
        <v>0.52090909090909088</v>
      </c>
      <c r="AM6" s="34"/>
    </row>
    <row r="7" spans="1:39" s="11" customFormat="1" ht="76.05" customHeight="1" x14ac:dyDescent="0.3">
      <c r="A7" s="59"/>
      <c r="B7" s="25" t="s">
        <v>526</v>
      </c>
      <c r="C7" s="14" t="s">
        <v>527</v>
      </c>
      <c r="D7" s="57">
        <v>0.28999999999999998</v>
      </c>
      <c r="E7" s="58">
        <v>0.25</v>
      </c>
      <c r="F7" s="58">
        <v>0.2</v>
      </c>
      <c r="G7" s="58">
        <v>0.27</v>
      </c>
      <c r="H7" s="58">
        <v>0.25</v>
      </c>
      <c r="I7" s="58">
        <v>0.25</v>
      </c>
      <c r="J7" s="58">
        <v>0.21</v>
      </c>
      <c r="K7" s="58">
        <v>0.23</v>
      </c>
      <c r="L7" s="58">
        <v>0.22</v>
      </c>
      <c r="M7" s="58">
        <v>0.22</v>
      </c>
      <c r="N7" s="58">
        <v>0.28000000000000003</v>
      </c>
      <c r="O7" s="58">
        <v>0.2</v>
      </c>
      <c r="P7" s="58">
        <v>0.27</v>
      </c>
      <c r="Q7" s="58">
        <v>0.27</v>
      </c>
      <c r="R7" s="58">
        <v>0.24</v>
      </c>
      <c r="S7" s="58">
        <v>0.23</v>
      </c>
      <c r="T7" s="58">
        <v>0.25</v>
      </c>
      <c r="U7" s="58">
        <v>0.24</v>
      </c>
      <c r="V7" s="58">
        <v>0.19</v>
      </c>
      <c r="W7" s="58">
        <v>0.27</v>
      </c>
      <c r="X7" s="58">
        <v>0.27</v>
      </c>
      <c r="Y7" s="58">
        <v>0.22</v>
      </c>
      <c r="Z7" s="58">
        <v>0.25</v>
      </c>
      <c r="AA7" s="58">
        <v>0.22</v>
      </c>
      <c r="AB7" s="58">
        <v>0.27</v>
      </c>
      <c r="AC7" s="58">
        <v>0.3</v>
      </c>
      <c r="AD7" s="58">
        <v>0.2</v>
      </c>
      <c r="AE7" s="58">
        <v>0.25</v>
      </c>
      <c r="AF7" s="58">
        <v>0.27</v>
      </c>
      <c r="AG7" s="58">
        <v>0.25</v>
      </c>
      <c r="AH7" s="58">
        <v>0.27</v>
      </c>
      <c r="AI7" s="58">
        <v>0.24</v>
      </c>
      <c r="AJ7" s="58">
        <v>0.27</v>
      </c>
      <c r="AK7" s="58">
        <v>0.22</v>
      </c>
      <c r="AL7" s="57">
        <f t="shared" si="0"/>
        <v>0.24363636363636362</v>
      </c>
      <c r="AM7" s="34"/>
    </row>
    <row r="8" spans="1:39" s="11" customFormat="1" ht="76.05" customHeight="1" x14ac:dyDescent="0.3">
      <c r="A8" s="59"/>
      <c r="B8" s="25" t="s">
        <v>528</v>
      </c>
      <c r="C8" s="14" t="s">
        <v>529</v>
      </c>
      <c r="D8" s="57">
        <v>0.53</v>
      </c>
      <c r="E8" s="58">
        <v>0.46</v>
      </c>
      <c r="F8" s="58">
        <v>0.41</v>
      </c>
      <c r="G8" s="58">
        <v>0.46</v>
      </c>
      <c r="H8" s="58">
        <v>0.43</v>
      </c>
      <c r="I8" s="58">
        <v>0.48</v>
      </c>
      <c r="J8" s="58">
        <v>0.42</v>
      </c>
      <c r="K8" s="58">
        <v>0.45</v>
      </c>
      <c r="L8" s="58">
        <v>0.45</v>
      </c>
      <c r="M8" s="58">
        <v>0.38</v>
      </c>
      <c r="N8" s="58">
        <v>0.48</v>
      </c>
      <c r="O8" s="58">
        <v>0.44</v>
      </c>
      <c r="P8" s="58">
        <v>0.49</v>
      </c>
      <c r="Q8" s="58">
        <v>0.48</v>
      </c>
      <c r="R8" s="58">
        <v>0.45</v>
      </c>
      <c r="S8" s="58">
        <v>0.46</v>
      </c>
      <c r="T8" s="58">
        <v>0.5</v>
      </c>
      <c r="U8" s="58">
        <v>0.45</v>
      </c>
      <c r="V8" s="58">
        <v>0.39</v>
      </c>
      <c r="W8" s="58">
        <v>0.46</v>
      </c>
      <c r="X8" s="58">
        <v>0.49</v>
      </c>
      <c r="Y8" s="58">
        <v>0.48</v>
      </c>
      <c r="Z8" s="58">
        <v>0.41</v>
      </c>
      <c r="AA8" s="58">
        <v>0.45</v>
      </c>
      <c r="AB8" s="58">
        <v>0.47</v>
      </c>
      <c r="AC8" s="58">
        <v>0.46</v>
      </c>
      <c r="AD8" s="58">
        <v>0.44</v>
      </c>
      <c r="AE8" s="58">
        <v>0.45</v>
      </c>
      <c r="AF8" s="58">
        <v>0.45</v>
      </c>
      <c r="AG8" s="58">
        <v>0.49</v>
      </c>
      <c r="AH8" s="58">
        <v>0.51</v>
      </c>
      <c r="AI8" s="58">
        <v>0.47</v>
      </c>
      <c r="AJ8" s="58">
        <v>0.48</v>
      </c>
      <c r="AK8" s="58">
        <v>0.46</v>
      </c>
      <c r="AL8" s="57">
        <f t="shared" si="0"/>
        <v>0.45606060606060611</v>
      </c>
      <c r="AM8" s="34"/>
    </row>
    <row r="9" spans="1:39" s="11" customFormat="1" ht="76.05" customHeight="1" x14ac:dyDescent="0.3">
      <c r="A9" s="59"/>
      <c r="B9" s="25" t="s">
        <v>530</v>
      </c>
      <c r="C9" s="14" t="s">
        <v>531</v>
      </c>
      <c r="D9" s="57">
        <v>0.49</v>
      </c>
      <c r="E9" s="58">
        <v>0.42</v>
      </c>
      <c r="F9" s="58">
        <v>0.37</v>
      </c>
      <c r="G9" s="58">
        <v>0.43</v>
      </c>
      <c r="H9" s="58">
        <v>0.37</v>
      </c>
      <c r="I9" s="58">
        <v>0.42</v>
      </c>
      <c r="J9" s="58">
        <v>0.41</v>
      </c>
      <c r="K9" s="58">
        <v>0.43</v>
      </c>
      <c r="L9" s="58">
        <v>0.4</v>
      </c>
      <c r="M9" s="58">
        <v>0.38</v>
      </c>
      <c r="N9" s="58">
        <v>0.44</v>
      </c>
      <c r="O9" s="58">
        <v>0.41</v>
      </c>
      <c r="P9" s="58">
        <v>0.45</v>
      </c>
      <c r="Q9" s="58">
        <v>0.48</v>
      </c>
      <c r="R9" s="58">
        <v>0.41</v>
      </c>
      <c r="S9" s="58">
        <v>0.41</v>
      </c>
      <c r="T9" s="58">
        <v>0.47</v>
      </c>
      <c r="U9" s="58">
        <v>0.44</v>
      </c>
      <c r="V9" s="58">
        <v>0.36</v>
      </c>
      <c r="W9" s="58">
        <v>0.39</v>
      </c>
      <c r="X9" s="58">
        <v>0.46</v>
      </c>
      <c r="Y9" s="58">
        <v>0.41</v>
      </c>
      <c r="Z9" s="58">
        <v>0.4</v>
      </c>
      <c r="AA9" s="58">
        <v>0.39</v>
      </c>
      <c r="AB9" s="58">
        <v>0.47</v>
      </c>
      <c r="AC9" s="58">
        <v>0.41</v>
      </c>
      <c r="AD9" s="58">
        <v>0.43</v>
      </c>
      <c r="AE9" s="58">
        <v>0.44</v>
      </c>
      <c r="AF9" s="58">
        <v>0.41</v>
      </c>
      <c r="AG9" s="58">
        <v>0.47</v>
      </c>
      <c r="AH9" s="58">
        <v>0.46</v>
      </c>
      <c r="AI9" s="58">
        <v>0.43</v>
      </c>
      <c r="AJ9" s="58">
        <v>0.44</v>
      </c>
      <c r="AK9" s="58">
        <v>0.46</v>
      </c>
      <c r="AL9" s="57">
        <f t="shared" si="0"/>
        <v>0.42333333333333345</v>
      </c>
      <c r="AM9" s="34"/>
    </row>
    <row r="10" spans="1:39" s="11" customFormat="1" ht="76.05" customHeight="1" x14ac:dyDescent="0.3">
      <c r="A10" s="59"/>
      <c r="B10" s="25" t="s">
        <v>522</v>
      </c>
      <c r="C10" s="14" t="s">
        <v>532</v>
      </c>
      <c r="D10" s="57">
        <v>0.41</v>
      </c>
      <c r="E10" s="58">
        <v>0.36</v>
      </c>
      <c r="F10" s="58">
        <v>0.31</v>
      </c>
      <c r="G10" s="58">
        <v>0.37</v>
      </c>
      <c r="H10" s="58">
        <v>0.34</v>
      </c>
      <c r="I10" s="58">
        <v>0.36</v>
      </c>
      <c r="J10" s="58">
        <v>0.34</v>
      </c>
      <c r="K10" s="58">
        <v>0.33</v>
      </c>
      <c r="L10" s="58">
        <v>0.37</v>
      </c>
      <c r="M10" s="58">
        <v>0.27</v>
      </c>
      <c r="N10" s="58">
        <v>0.35</v>
      </c>
      <c r="O10" s="58">
        <v>0.34</v>
      </c>
      <c r="P10" s="58">
        <v>0.4</v>
      </c>
      <c r="Q10" s="58">
        <v>0.37</v>
      </c>
      <c r="R10" s="58">
        <v>0.34</v>
      </c>
      <c r="S10" s="58">
        <v>0.35</v>
      </c>
      <c r="T10" s="58">
        <v>0.4</v>
      </c>
      <c r="U10" s="58">
        <v>0.37</v>
      </c>
      <c r="V10" s="58">
        <v>0.31</v>
      </c>
      <c r="W10" s="58">
        <v>0.34</v>
      </c>
      <c r="X10" s="58">
        <v>0.38</v>
      </c>
      <c r="Y10" s="58">
        <v>0.36</v>
      </c>
      <c r="Z10" s="58">
        <v>0.35</v>
      </c>
      <c r="AA10" s="58">
        <v>0.35</v>
      </c>
      <c r="AB10" s="58">
        <v>0.37</v>
      </c>
      <c r="AC10" s="58">
        <v>0.32</v>
      </c>
      <c r="AD10" s="58">
        <v>0.33</v>
      </c>
      <c r="AE10" s="58">
        <v>0.35</v>
      </c>
      <c r="AF10" s="58">
        <v>0.35</v>
      </c>
      <c r="AG10" s="58">
        <v>0.39</v>
      </c>
      <c r="AH10" s="58">
        <v>0.38</v>
      </c>
      <c r="AI10" s="58">
        <v>0.4</v>
      </c>
      <c r="AJ10" s="58">
        <v>0.38</v>
      </c>
      <c r="AK10" s="58">
        <v>0.33</v>
      </c>
      <c r="AL10" s="57">
        <f t="shared" si="0"/>
        <v>0.35333333333333339</v>
      </c>
      <c r="AM10" s="34"/>
    </row>
    <row r="11" spans="1:39" s="11" customFormat="1" ht="76.05" customHeight="1" x14ac:dyDescent="0.3">
      <c r="A11" s="59"/>
      <c r="B11" s="25" t="s">
        <v>533</v>
      </c>
      <c r="C11" s="14" t="s">
        <v>534</v>
      </c>
      <c r="D11" s="57">
        <v>0.48</v>
      </c>
      <c r="E11" s="58">
        <v>0.44</v>
      </c>
      <c r="F11" s="58">
        <v>0.39</v>
      </c>
      <c r="G11" s="58">
        <v>0.47</v>
      </c>
      <c r="H11" s="58">
        <v>0.41</v>
      </c>
      <c r="I11" s="58">
        <v>0.47</v>
      </c>
      <c r="J11" s="58">
        <v>0.39</v>
      </c>
      <c r="K11" s="58">
        <v>0.46</v>
      </c>
      <c r="L11" s="58">
        <v>0.42</v>
      </c>
      <c r="M11" s="58">
        <v>0.38</v>
      </c>
      <c r="N11" s="58">
        <v>0.45</v>
      </c>
      <c r="O11" s="58">
        <v>0.44</v>
      </c>
      <c r="P11" s="58">
        <v>0.47</v>
      </c>
      <c r="Q11" s="58">
        <v>0.48</v>
      </c>
      <c r="R11" s="58">
        <v>0.41</v>
      </c>
      <c r="S11" s="58">
        <v>0.45</v>
      </c>
      <c r="T11" s="58">
        <v>0.49</v>
      </c>
      <c r="U11" s="58">
        <v>0.44</v>
      </c>
      <c r="V11" s="58">
        <v>0.39</v>
      </c>
      <c r="W11" s="58">
        <v>0.43</v>
      </c>
      <c r="X11" s="58">
        <v>0.47</v>
      </c>
      <c r="Y11" s="58">
        <v>0.47</v>
      </c>
      <c r="Z11" s="58">
        <v>0.41</v>
      </c>
      <c r="AA11" s="58">
        <v>0.44</v>
      </c>
      <c r="AB11" s="58">
        <v>0.45</v>
      </c>
      <c r="AC11" s="58">
        <v>0.42</v>
      </c>
      <c r="AD11" s="58">
        <v>0.44</v>
      </c>
      <c r="AE11" s="58">
        <v>0.45</v>
      </c>
      <c r="AF11" s="58">
        <v>0.43</v>
      </c>
      <c r="AG11" s="58">
        <v>0.49</v>
      </c>
      <c r="AH11" s="58">
        <v>0.48</v>
      </c>
      <c r="AI11" s="58">
        <v>0.5</v>
      </c>
      <c r="AJ11" s="58">
        <v>0.47</v>
      </c>
      <c r="AK11" s="58">
        <v>0.45</v>
      </c>
      <c r="AL11" s="57">
        <f t="shared" si="0"/>
        <v>0.44393939393939397</v>
      </c>
      <c r="AM11" s="34"/>
    </row>
    <row r="12" spans="1:39" s="11" customFormat="1" ht="76.05" customHeight="1" x14ac:dyDescent="0.3">
      <c r="A12" s="59"/>
      <c r="B12" s="25" t="s">
        <v>535</v>
      </c>
      <c r="C12" s="14" t="s">
        <v>536</v>
      </c>
      <c r="D12" s="57">
        <v>0.38</v>
      </c>
      <c r="E12" s="58">
        <v>0.32</v>
      </c>
      <c r="F12" s="58">
        <v>0.26</v>
      </c>
      <c r="G12" s="58">
        <v>0.32</v>
      </c>
      <c r="H12" s="58">
        <v>0.28999999999999998</v>
      </c>
      <c r="I12" s="58">
        <v>0.32</v>
      </c>
      <c r="J12" s="58">
        <v>0.28999999999999998</v>
      </c>
      <c r="K12" s="58">
        <v>0.31</v>
      </c>
      <c r="L12" s="58">
        <v>0.31</v>
      </c>
      <c r="M12" s="58">
        <v>0.28000000000000003</v>
      </c>
      <c r="N12" s="58">
        <v>0.36</v>
      </c>
      <c r="O12" s="58">
        <v>0.26</v>
      </c>
      <c r="P12" s="58">
        <v>0.33</v>
      </c>
      <c r="Q12" s="58">
        <v>0.33</v>
      </c>
      <c r="R12" s="58">
        <v>0.3</v>
      </c>
      <c r="S12" s="58">
        <v>0.33</v>
      </c>
      <c r="T12" s="58">
        <v>0.34</v>
      </c>
      <c r="U12" s="58">
        <v>0.3</v>
      </c>
      <c r="V12" s="58">
        <v>0.28999999999999998</v>
      </c>
      <c r="W12" s="58">
        <v>0.36</v>
      </c>
      <c r="X12" s="58">
        <v>0.32</v>
      </c>
      <c r="Y12" s="58">
        <v>0.28999999999999998</v>
      </c>
      <c r="Z12" s="58">
        <v>0.3</v>
      </c>
      <c r="AA12" s="58">
        <v>0.33</v>
      </c>
      <c r="AB12" s="58">
        <v>0.35</v>
      </c>
      <c r="AC12" s="58">
        <v>0.34</v>
      </c>
      <c r="AD12" s="58">
        <v>0.31</v>
      </c>
      <c r="AE12" s="58">
        <v>0.28999999999999998</v>
      </c>
      <c r="AF12" s="58">
        <v>0.33</v>
      </c>
      <c r="AG12" s="58">
        <v>0.33</v>
      </c>
      <c r="AH12" s="58">
        <v>0.35</v>
      </c>
      <c r="AI12" s="58">
        <v>0.33</v>
      </c>
      <c r="AJ12" s="58">
        <v>0.31</v>
      </c>
      <c r="AK12" s="58">
        <v>0.3</v>
      </c>
      <c r="AL12" s="57">
        <f t="shared" si="0"/>
        <v>0.31454545454545457</v>
      </c>
      <c r="AM12" s="34"/>
    </row>
    <row r="13" spans="1:39" s="11" customFormat="1" ht="76.05" customHeight="1" x14ac:dyDescent="0.3">
      <c r="A13" s="59"/>
      <c r="B13" s="25" t="s">
        <v>537</v>
      </c>
      <c r="C13" s="14" t="s">
        <v>538</v>
      </c>
      <c r="D13" s="57">
        <v>0.42</v>
      </c>
      <c r="E13" s="58">
        <v>0.35</v>
      </c>
      <c r="F13" s="58">
        <v>0.32</v>
      </c>
      <c r="G13" s="58">
        <v>0.34</v>
      </c>
      <c r="H13" s="58">
        <v>0.36</v>
      </c>
      <c r="I13" s="58">
        <v>0.36</v>
      </c>
      <c r="J13" s="58">
        <v>0.3</v>
      </c>
      <c r="K13" s="58">
        <v>0.31</v>
      </c>
      <c r="L13" s="58">
        <v>0.33</v>
      </c>
      <c r="M13" s="58">
        <v>0.31</v>
      </c>
      <c r="N13" s="58">
        <v>0.36</v>
      </c>
      <c r="O13" s="58">
        <v>0.3</v>
      </c>
      <c r="P13" s="58">
        <v>0.35</v>
      </c>
      <c r="Q13" s="58">
        <v>0.37</v>
      </c>
      <c r="R13" s="58">
        <v>0.3</v>
      </c>
      <c r="S13" s="58">
        <v>0.34</v>
      </c>
      <c r="T13" s="58">
        <v>0.37</v>
      </c>
      <c r="U13" s="58">
        <v>0.33</v>
      </c>
      <c r="V13" s="58">
        <v>0.31</v>
      </c>
      <c r="W13" s="58">
        <v>0.36</v>
      </c>
      <c r="X13" s="58">
        <v>0.35</v>
      </c>
      <c r="Y13" s="58">
        <v>0.35</v>
      </c>
      <c r="Z13" s="58">
        <v>0.33</v>
      </c>
      <c r="AA13" s="58">
        <v>0.32</v>
      </c>
      <c r="AB13" s="58">
        <v>0.38</v>
      </c>
      <c r="AC13" s="58">
        <v>0.4</v>
      </c>
      <c r="AD13" s="58">
        <v>0.31</v>
      </c>
      <c r="AE13" s="58">
        <v>0.36</v>
      </c>
      <c r="AF13" s="58">
        <v>0.34</v>
      </c>
      <c r="AG13" s="58">
        <v>0.36</v>
      </c>
      <c r="AH13" s="58">
        <v>0.39</v>
      </c>
      <c r="AI13" s="58">
        <v>0.37</v>
      </c>
      <c r="AJ13" s="58">
        <v>0.37</v>
      </c>
      <c r="AK13" s="58">
        <v>0.33</v>
      </c>
      <c r="AL13" s="57">
        <f t="shared" si="0"/>
        <v>0.34333333333333327</v>
      </c>
      <c r="AM13" s="34"/>
    </row>
    <row r="14" spans="1:39" s="11" customFormat="1" ht="76.05" customHeight="1" x14ac:dyDescent="0.3">
      <c r="A14" s="59"/>
      <c r="B14" s="25" t="s">
        <v>539</v>
      </c>
      <c r="C14" s="14" t="s">
        <v>540</v>
      </c>
      <c r="D14" s="57">
        <v>0.38</v>
      </c>
      <c r="E14" s="58">
        <v>0.34</v>
      </c>
      <c r="F14" s="58">
        <v>0.26</v>
      </c>
      <c r="G14" s="58">
        <v>0.32</v>
      </c>
      <c r="H14" s="58">
        <v>0.28000000000000003</v>
      </c>
      <c r="I14" s="58">
        <v>0.26</v>
      </c>
      <c r="J14" s="58">
        <v>0.27</v>
      </c>
      <c r="K14" s="58">
        <v>0.31</v>
      </c>
      <c r="L14" s="58">
        <v>0.28000000000000003</v>
      </c>
      <c r="M14" s="58">
        <v>0.25</v>
      </c>
      <c r="N14" s="58">
        <v>0.32</v>
      </c>
      <c r="O14" s="58">
        <v>0.3</v>
      </c>
      <c r="P14" s="58">
        <v>0.34</v>
      </c>
      <c r="Q14" s="58">
        <v>0.34</v>
      </c>
      <c r="R14" s="58">
        <v>0.31</v>
      </c>
      <c r="S14" s="58">
        <v>0.28999999999999998</v>
      </c>
      <c r="T14" s="58">
        <v>0.33</v>
      </c>
      <c r="U14" s="58">
        <v>0.28999999999999998</v>
      </c>
      <c r="V14" s="58">
        <v>0.27</v>
      </c>
      <c r="W14" s="58">
        <v>0.35</v>
      </c>
      <c r="X14" s="58">
        <v>0.28000000000000003</v>
      </c>
      <c r="Y14" s="58">
        <v>0.28999999999999998</v>
      </c>
      <c r="Z14" s="58">
        <v>0.3</v>
      </c>
      <c r="AA14" s="58">
        <v>0.31</v>
      </c>
      <c r="AB14" s="58">
        <v>0.35</v>
      </c>
      <c r="AC14" s="58">
        <v>0.28999999999999998</v>
      </c>
      <c r="AD14" s="58">
        <v>0.28999999999999998</v>
      </c>
      <c r="AE14" s="58">
        <v>0.28999999999999998</v>
      </c>
      <c r="AF14" s="58">
        <v>0.28999999999999998</v>
      </c>
      <c r="AG14" s="58">
        <v>0.31</v>
      </c>
      <c r="AH14" s="58">
        <v>0.34</v>
      </c>
      <c r="AI14" s="58">
        <v>0.34</v>
      </c>
      <c r="AJ14" s="58">
        <v>0.32</v>
      </c>
      <c r="AK14" s="58">
        <v>0.3</v>
      </c>
      <c r="AL14" s="57">
        <f t="shared" si="0"/>
        <v>0.30333333333333329</v>
      </c>
      <c r="AM14" s="34"/>
    </row>
    <row r="15" spans="1:39" s="11" customFormat="1" ht="76.05" customHeight="1" x14ac:dyDescent="0.3">
      <c r="A15" s="59"/>
      <c r="B15" s="25" t="s">
        <v>541</v>
      </c>
      <c r="C15" s="14" t="s">
        <v>542</v>
      </c>
      <c r="D15" s="57">
        <v>0.49</v>
      </c>
      <c r="E15" s="58">
        <v>0.39</v>
      </c>
      <c r="F15" s="58">
        <v>0.37</v>
      </c>
      <c r="G15" s="58">
        <v>0.43</v>
      </c>
      <c r="H15" s="58">
        <v>0.39</v>
      </c>
      <c r="I15" s="58">
        <v>0.38</v>
      </c>
      <c r="J15" s="58">
        <v>0.37</v>
      </c>
      <c r="K15" s="58">
        <v>0.4</v>
      </c>
      <c r="L15" s="58">
        <v>0.39</v>
      </c>
      <c r="M15" s="58">
        <v>0.36</v>
      </c>
      <c r="N15" s="58">
        <v>0.44</v>
      </c>
      <c r="O15" s="58">
        <v>0.39</v>
      </c>
      <c r="P15" s="58">
        <v>0.46</v>
      </c>
      <c r="Q15" s="58">
        <v>0.43</v>
      </c>
      <c r="R15" s="58">
        <v>0.42</v>
      </c>
      <c r="S15" s="58">
        <v>0.39</v>
      </c>
      <c r="T15" s="58">
        <v>0.42</v>
      </c>
      <c r="U15" s="58">
        <v>0.42</v>
      </c>
      <c r="V15" s="58">
        <v>0.34</v>
      </c>
      <c r="W15" s="58">
        <v>0.44</v>
      </c>
      <c r="X15" s="58">
        <v>0.41</v>
      </c>
      <c r="Y15" s="58">
        <v>0.42</v>
      </c>
      <c r="Z15" s="58">
        <v>0.4</v>
      </c>
      <c r="AA15" s="58">
        <v>0.41</v>
      </c>
      <c r="AB15" s="58">
        <v>0.43</v>
      </c>
      <c r="AC15" s="58">
        <v>0.43</v>
      </c>
      <c r="AD15" s="58">
        <v>0.41</v>
      </c>
      <c r="AE15" s="58">
        <v>0.42</v>
      </c>
      <c r="AF15" s="58">
        <v>0.38</v>
      </c>
      <c r="AG15" s="58">
        <v>0.41</v>
      </c>
      <c r="AH15" s="58">
        <v>0.47</v>
      </c>
      <c r="AI15" s="58">
        <v>0.41</v>
      </c>
      <c r="AJ15" s="58">
        <v>0.44</v>
      </c>
      <c r="AK15" s="58">
        <v>0.39</v>
      </c>
      <c r="AL15" s="57">
        <f t="shared" si="0"/>
        <v>0.4078787878787879</v>
      </c>
      <c r="AM15" s="34"/>
    </row>
    <row r="16" spans="1:39" s="11" customFormat="1" ht="76.05" customHeight="1" x14ac:dyDescent="0.3">
      <c r="A16" s="56" t="s">
        <v>543</v>
      </c>
      <c r="B16" s="25" t="s">
        <v>524</v>
      </c>
      <c r="C16" s="14" t="s">
        <v>544</v>
      </c>
      <c r="D16" s="57">
        <v>0.44</v>
      </c>
      <c r="E16" s="58">
        <v>0.42</v>
      </c>
      <c r="F16" s="58">
        <v>0.41</v>
      </c>
      <c r="G16" s="58">
        <v>0.44</v>
      </c>
      <c r="H16" s="58">
        <v>0.47</v>
      </c>
      <c r="I16" s="58">
        <v>0.46</v>
      </c>
      <c r="J16" s="58">
        <v>0.4</v>
      </c>
      <c r="K16" s="58">
        <v>0.45</v>
      </c>
      <c r="L16" s="58">
        <v>0.38</v>
      </c>
      <c r="M16" s="58">
        <v>0.39</v>
      </c>
      <c r="N16" s="58">
        <v>0.42</v>
      </c>
      <c r="O16" s="58">
        <v>0.44</v>
      </c>
      <c r="P16" s="58">
        <v>0.43</v>
      </c>
      <c r="Q16" s="58">
        <v>0.48</v>
      </c>
      <c r="R16" s="58">
        <v>0.42</v>
      </c>
      <c r="S16" s="58">
        <v>0.41</v>
      </c>
      <c r="T16" s="58">
        <v>0.44</v>
      </c>
      <c r="U16" s="58">
        <v>0.41</v>
      </c>
      <c r="V16" s="58">
        <v>0.43</v>
      </c>
      <c r="W16" s="58">
        <v>0.49</v>
      </c>
      <c r="X16" s="58">
        <v>0.43</v>
      </c>
      <c r="Y16" s="58">
        <v>0.4</v>
      </c>
      <c r="Z16" s="58">
        <v>0.4</v>
      </c>
      <c r="AA16" s="58">
        <v>0.47</v>
      </c>
      <c r="AB16" s="58">
        <v>0.46</v>
      </c>
      <c r="AC16" s="58">
        <v>0.45</v>
      </c>
      <c r="AD16" s="58">
        <v>0.4</v>
      </c>
      <c r="AE16" s="58">
        <v>0.42</v>
      </c>
      <c r="AF16" s="58">
        <v>0.43</v>
      </c>
      <c r="AG16" s="58">
        <v>0.44</v>
      </c>
      <c r="AH16" s="58">
        <v>0.46</v>
      </c>
      <c r="AI16" s="58">
        <v>0.47</v>
      </c>
      <c r="AJ16" s="58">
        <v>0.43</v>
      </c>
      <c r="AK16" s="58">
        <v>0.43</v>
      </c>
      <c r="AL16" s="57">
        <f t="shared" si="0"/>
        <v>0.43272727272727274</v>
      </c>
      <c r="AM16" s="34"/>
    </row>
    <row r="17" spans="1:39" s="11" customFormat="1" ht="76.05" customHeight="1" x14ac:dyDescent="0.3">
      <c r="A17" s="59"/>
      <c r="B17" s="25" t="s">
        <v>528</v>
      </c>
      <c r="C17" s="14" t="s">
        <v>545</v>
      </c>
      <c r="D17" s="57">
        <v>0.38</v>
      </c>
      <c r="E17" s="58">
        <v>0.37</v>
      </c>
      <c r="F17" s="58">
        <v>0.3</v>
      </c>
      <c r="G17" s="58">
        <v>0.38</v>
      </c>
      <c r="H17" s="58">
        <v>0.34</v>
      </c>
      <c r="I17" s="58">
        <v>0.37</v>
      </c>
      <c r="J17" s="58">
        <v>0.36</v>
      </c>
      <c r="K17" s="58">
        <v>0.38</v>
      </c>
      <c r="L17" s="58">
        <v>0.36</v>
      </c>
      <c r="M17" s="58">
        <v>0.34</v>
      </c>
      <c r="N17" s="58">
        <v>0.36</v>
      </c>
      <c r="O17" s="58">
        <v>0.39</v>
      </c>
      <c r="P17" s="58">
        <v>0.38</v>
      </c>
      <c r="Q17" s="58">
        <v>0.41</v>
      </c>
      <c r="R17" s="58">
        <v>0.3</v>
      </c>
      <c r="S17" s="58">
        <v>0.35</v>
      </c>
      <c r="T17" s="58">
        <v>0.38</v>
      </c>
      <c r="U17" s="58">
        <v>0.33</v>
      </c>
      <c r="V17" s="58">
        <v>0.34</v>
      </c>
      <c r="W17" s="58">
        <v>0.38</v>
      </c>
      <c r="X17" s="58">
        <v>0.34</v>
      </c>
      <c r="Y17" s="58">
        <v>0.32</v>
      </c>
      <c r="Z17" s="58">
        <v>0.33</v>
      </c>
      <c r="AA17" s="58">
        <v>0.34</v>
      </c>
      <c r="AB17" s="58">
        <v>0.36</v>
      </c>
      <c r="AC17" s="58">
        <v>0.35</v>
      </c>
      <c r="AD17" s="58">
        <v>0.36</v>
      </c>
      <c r="AE17" s="58">
        <v>0.33</v>
      </c>
      <c r="AF17" s="58">
        <v>0.36</v>
      </c>
      <c r="AG17" s="58">
        <v>0.37</v>
      </c>
      <c r="AH17" s="58">
        <v>0.4</v>
      </c>
      <c r="AI17" s="58">
        <v>0.37</v>
      </c>
      <c r="AJ17" s="58">
        <v>0.37</v>
      </c>
      <c r="AK17" s="58">
        <v>0.35</v>
      </c>
      <c r="AL17" s="57">
        <f t="shared" si="0"/>
        <v>0.35666666666666647</v>
      </c>
      <c r="AM17" s="34"/>
    </row>
    <row r="18" spans="1:39" s="11" customFormat="1" ht="76.05" customHeight="1" x14ac:dyDescent="0.3">
      <c r="A18" s="59"/>
      <c r="B18" s="25" t="s">
        <v>530</v>
      </c>
      <c r="C18" s="14" t="s">
        <v>546</v>
      </c>
      <c r="D18" s="57">
        <v>0.56000000000000005</v>
      </c>
      <c r="E18" s="58">
        <v>0.52</v>
      </c>
      <c r="F18" s="58">
        <v>0.46</v>
      </c>
      <c r="G18" s="58">
        <v>0.52</v>
      </c>
      <c r="H18" s="58">
        <v>0.47</v>
      </c>
      <c r="I18" s="58">
        <v>0.51</v>
      </c>
      <c r="J18" s="58">
        <v>0.46</v>
      </c>
      <c r="K18" s="58">
        <v>0.5</v>
      </c>
      <c r="L18" s="58">
        <v>0.47</v>
      </c>
      <c r="M18" s="58">
        <v>0.46</v>
      </c>
      <c r="N18" s="58">
        <v>0.52</v>
      </c>
      <c r="O18" s="58">
        <v>0.56999999999999995</v>
      </c>
      <c r="P18" s="58">
        <v>0.5</v>
      </c>
      <c r="Q18" s="58">
        <v>0.52</v>
      </c>
      <c r="R18" s="58">
        <v>0.46</v>
      </c>
      <c r="S18" s="58">
        <v>0.5</v>
      </c>
      <c r="T18" s="58">
        <v>0.55000000000000004</v>
      </c>
      <c r="U18" s="58">
        <v>0.53</v>
      </c>
      <c r="V18" s="58">
        <v>0.47</v>
      </c>
      <c r="W18" s="58">
        <v>0.54</v>
      </c>
      <c r="X18" s="58">
        <v>0.5</v>
      </c>
      <c r="Y18" s="58">
        <v>0.5</v>
      </c>
      <c r="Z18" s="58">
        <v>0.47</v>
      </c>
      <c r="AA18" s="58">
        <v>0.49</v>
      </c>
      <c r="AB18" s="58">
        <v>0.52</v>
      </c>
      <c r="AC18" s="58">
        <v>0.51</v>
      </c>
      <c r="AD18" s="58">
        <v>0.54</v>
      </c>
      <c r="AE18" s="58">
        <v>0.52</v>
      </c>
      <c r="AF18" s="58">
        <v>0.48</v>
      </c>
      <c r="AG18" s="58">
        <v>0.54</v>
      </c>
      <c r="AH18" s="58">
        <v>0.57999999999999996</v>
      </c>
      <c r="AI18" s="58">
        <v>0.55000000000000004</v>
      </c>
      <c r="AJ18" s="58">
        <v>0.53</v>
      </c>
      <c r="AK18" s="58">
        <v>0.52</v>
      </c>
      <c r="AL18" s="57">
        <f t="shared" si="0"/>
        <v>0.50848484848484854</v>
      </c>
      <c r="AM18" s="34"/>
    </row>
    <row r="19" spans="1:39" s="11" customFormat="1" ht="76.05" customHeight="1" x14ac:dyDescent="0.3">
      <c r="A19" s="59"/>
      <c r="B19" s="25" t="s">
        <v>520</v>
      </c>
      <c r="C19" s="14" t="s">
        <v>547</v>
      </c>
      <c r="D19" s="57">
        <v>0.51</v>
      </c>
      <c r="E19" s="58">
        <v>0.5</v>
      </c>
      <c r="F19" s="58">
        <v>0.45</v>
      </c>
      <c r="G19" s="58">
        <v>0.48</v>
      </c>
      <c r="H19" s="58">
        <v>0.47</v>
      </c>
      <c r="I19" s="58">
        <v>0.49</v>
      </c>
      <c r="J19" s="58">
        <v>0.45</v>
      </c>
      <c r="K19" s="58">
        <v>0.53</v>
      </c>
      <c r="L19" s="58">
        <v>0.47</v>
      </c>
      <c r="M19" s="58">
        <v>0.45</v>
      </c>
      <c r="N19" s="58">
        <v>0.54</v>
      </c>
      <c r="O19" s="58">
        <v>0.53</v>
      </c>
      <c r="P19" s="58">
        <v>0.5</v>
      </c>
      <c r="Q19" s="58">
        <v>0.55000000000000004</v>
      </c>
      <c r="R19" s="58">
        <v>0.44</v>
      </c>
      <c r="S19" s="58">
        <v>0.49</v>
      </c>
      <c r="T19" s="58">
        <v>0.51</v>
      </c>
      <c r="U19" s="58">
        <v>0.46</v>
      </c>
      <c r="V19" s="58">
        <v>0.48</v>
      </c>
      <c r="W19" s="58">
        <v>0.51</v>
      </c>
      <c r="X19" s="58">
        <v>0.47</v>
      </c>
      <c r="Y19" s="58">
        <v>0.49</v>
      </c>
      <c r="Z19" s="58">
        <v>0.45</v>
      </c>
      <c r="AA19" s="58">
        <v>0.49</v>
      </c>
      <c r="AB19" s="58">
        <v>0.49</v>
      </c>
      <c r="AC19" s="58">
        <v>0.51</v>
      </c>
      <c r="AD19" s="58">
        <v>0.51</v>
      </c>
      <c r="AE19" s="58">
        <v>0.45</v>
      </c>
      <c r="AF19" s="58">
        <v>0.49</v>
      </c>
      <c r="AG19" s="58">
        <v>0.49</v>
      </c>
      <c r="AH19" s="58">
        <v>0.53</v>
      </c>
      <c r="AI19" s="58">
        <v>0.56000000000000005</v>
      </c>
      <c r="AJ19" s="58">
        <v>0.5</v>
      </c>
      <c r="AK19" s="58">
        <v>0.49</v>
      </c>
      <c r="AL19" s="57">
        <f t="shared" si="0"/>
        <v>0.49151515151515146</v>
      </c>
      <c r="AM19" s="34"/>
    </row>
    <row r="20" spans="1:39" s="11" customFormat="1" ht="76.05" customHeight="1" x14ac:dyDescent="0.3">
      <c r="A20" s="59"/>
      <c r="B20" s="25" t="s">
        <v>522</v>
      </c>
      <c r="C20" s="14" t="s">
        <v>548</v>
      </c>
      <c r="D20" s="57">
        <v>0.38</v>
      </c>
      <c r="E20" s="58">
        <v>0.39</v>
      </c>
      <c r="F20" s="58">
        <v>0.35</v>
      </c>
      <c r="G20" s="58">
        <v>0.41</v>
      </c>
      <c r="H20" s="58">
        <v>0.36</v>
      </c>
      <c r="I20" s="58">
        <v>0.39</v>
      </c>
      <c r="J20" s="58">
        <v>0.36</v>
      </c>
      <c r="K20" s="58">
        <v>0.37</v>
      </c>
      <c r="L20" s="58">
        <v>0.35</v>
      </c>
      <c r="M20" s="58">
        <v>0.35</v>
      </c>
      <c r="N20" s="58">
        <v>0.45</v>
      </c>
      <c r="O20" s="58">
        <v>0.4</v>
      </c>
      <c r="P20" s="58">
        <v>0.4</v>
      </c>
      <c r="Q20" s="58">
        <v>0.37</v>
      </c>
      <c r="R20" s="58">
        <v>0.35</v>
      </c>
      <c r="S20" s="58">
        <v>0.33</v>
      </c>
      <c r="T20" s="58">
        <v>0.4</v>
      </c>
      <c r="U20" s="58">
        <v>0.33</v>
      </c>
      <c r="V20" s="58">
        <v>0.33</v>
      </c>
      <c r="W20" s="58">
        <v>0.38</v>
      </c>
      <c r="X20" s="58">
        <v>0.37</v>
      </c>
      <c r="Y20" s="58">
        <v>0.37</v>
      </c>
      <c r="Z20" s="58">
        <v>0.34</v>
      </c>
      <c r="AA20" s="58">
        <v>0.37</v>
      </c>
      <c r="AB20" s="58">
        <v>0.38</v>
      </c>
      <c r="AC20" s="58">
        <v>0.39</v>
      </c>
      <c r="AD20" s="58">
        <v>0.35</v>
      </c>
      <c r="AE20" s="58">
        <v>0.36</v>
      </c>
      <c r="AF20" s="58">
        <v>0.35</v>
      </c>
      <c r="AG20" s="58">
        <v>0.35</v>
      </c>
      <c r="AH20" s="58">
        <v>0.4</v>
      </c>
      <c r="AI20" s="58">
        <v>0.44</v>
      </c>
      <c r="AJ20" s="58">
        <v>0.37</v>
      </c>
      <c r="AK20" s="58">
        <v>0.38</v>
      </c>
      <c r="AL20" s="57">
        <f t="shared" si="0"/>
        <v>0.37242424242424244</v>
      </c>
      <c r="AM20" s="34"/>
    </row>
    <row r="21" spans="1:39" s="11" customFormat="1" ht="76.05" customHeight="1" x14ac:dyDescent="0.3">
      <c r="A21" s="59"/>
      <c r="B21" s="25" t="s">
        <v>549</v>
      </c>
      <c r="C21" s="14" t="s">
        <v>550</v>
      </c>
      <c r="D21" s="57">
        <v>0.56999999999999995</v>
      </c>
      <c r="E21" s="58">
        <v>0.55000000000000004</v>
      </c>
      <c r="F21" s="58">
        <v>0.53</v>
      </c>
      <c r="G21" s="58">
        <v>0.54</v>
      </c>
      <c r="H21" s="58">
        <v>0.52</v>
      </c>
      <c r="I21" s="58">
        <v>0.57999999999999996</v>
      </c>
      <c r="J21" s="58">
        <v>0.51</v>
      </c>
      <c r="K21" s="58">
        <v>0.57999999999999996</v>
      </c>
      <c r="L21" s="58">
        <v>0.56000000000000005</v>
      </c>
      <c r="M21" s="58">
        <v>0.48</v>
      </c>
      <c r="N21" s="58">
        <v>0.56999999999999995</v>
      </c>
      <c r="O21" s="58">
        <v>0.57999999999999996</v>
      </c>
      <c r="P21" s="58">
        <v>0.49</v>
      </c>
      <c r="Q21" s="58">
        <v>0.57999999999999996</v>
      </c>
      <c r="R21" s="58">
        <v>0.5</v>
      </c>
      <c r="S21" s="58">
        <v>0.54</v>
      </c>
      <c r="T21" s="58">
        <v>0.59</v>
      </c>
      <c r="U21" s="58">
        <v>0.56999999999999995</v>
      </c>
      <c r="V21" s="58">
        <v>0.52</v>
      </c>
      <c r="W21" s="58">
        <v>0.6</v>
      </c>
      <c r="X21" s="58">
        <v>0.53</v>
      </c>
      <c r="Y21" s="58">
        <v>0.56000000000000005</v>
      </c>
      <c r="Z21" s="58">
        <v>0.5</v>
      </c>
      <c r="AA21" s="58">
        <v>0.54</v>
      </c>
      <c r="AB21" s="58">
        <v>0.53</v>
      </c>
      <c r="AC21" s="58">
        <v>0.57999999999999996</v>
      </c>
      <c r="AD21" s="58">
        <v>0.56000000000000005</v>
      </c>
      <c r="AE21" s="58">
        <v>0.55000000000000004</v>
      </c>
      <c r="AF21" s="58">
        <v>0.52</v>
      </c>
      <c r="AG21" s="58">
        <v>0.55000000000000004</v>
      </c>
      <c r="AH21" s="58">
        <v>0.6</v>
      </c>
      <c r="AI21" s="58">
        <v>0.6</v>
      </c>
      <c r="AJ21" s="58">
        <v>0.56000000000000005</v>
      </c>
      <c r="AK21" s="58">
        <v>0.53</v>
      </c>
      <c r="AL21" s="57">
        <f t="shared" si="0"/>
        <v>0.54848484848484869</v>
      </c>
      <c r="AM21" s="34"/>
    </row>
    <row r="22" spans="1:39" s="11" customFormat="1" ht="76.05" customHeight="1" x14ac:dyDescent="0.3">
      <c r="A22" s="59"/>
      <c r="B22" s="25" t="s">
        <v>551</v>
      </c>
      <c r="C22" s="14" t="s">
        <v>552</v>
      </c>
      <c r="D22" s="57">
        <v>0.45</v>
      </c>
      <c r="E22" s="58">
        <v>0.41</v>
      </c>
      <c r="F22" s="58">
        <v>0.35</v>
      </c>
      <c r="G22" s="58">
        <v>0.42</v>
      </c>
      <c r="H22" s="58">
        <v>0.35</v>
      </c>
      <c r="I22" s="58">
        <v>0.39</v>
      </c>
      <c r="J22" s="58">
        <v>0.33</v>
      </c>
      <c r="K22" s="58">
        <v>0.38</v>
      </c>
      <c r="L22" s="58">
        <v>0.38</v>
      </c>
      <c r="M22" s="58">
        <v>0.35</v>
      </c>
      <c r="N22" s="58">
        <v>0.4</v>
      </c>
      <c r="O22" s="58">
        <v>0.39</v>
      </c>
      <c r="P22" s="58">
        <v>0.4</v>
      </c>
      <c r="Q22" s="58">
        <v>0.4</v>
      </c>
      <c r="R22" s="58">
        <v>0.34</v>
      </c>
      <c r="S22" s="58">
        <v>0.4</v>
      </c>
      <c r="T22" s="58">
        <v>0.4</v>
      </c>
      <c r="U22" s="58">
        <v>0.37</v>
      </c>
      <c r="V22" s="58">
        <v>0.37</v>
      </c>
      <c r="W22" s="58">
        <v>0.4</v>
      </c>
      <c r="X22" s="58">
        <v>0.37</v>
      </c>
      <c r="Y22" s="58">
        <v>0.36</v>
      </c>
      <c r="Z22" s="58">
        <v>0.39</v>
      </c>
      <c r="AA22" s="58">
        <v>0.38</v>
      </c>
      <c r="AB22" s="58">
        <v>0.39</v>
      </c>
      <c r="AC22" s="58">
        <v>0.4</v>
      </c>
      <c r="AD22" s="58">
        <v>0.35</v>
      </c>
      <c r="AE22" s="58">
        <v>0.4</v>
      </c>
      <c r="AF22" s="58">
        <v>0.36</v>
      </c>
      <c r="AG22" s="58">
        <v>0.4</v>
      </c>
      <c r="AH22" s="58">
        <v>0.4</v>
      </c>
      <c r="AI22" s="58">
        <v>0.41</v>
      </c>
      <c r="AJ22" s="58">
        <v>0.41</v>
      </c>
      <c r="AK22" s="58">
        <v>0.39</v>
      </c>
      <c r="AL22" s="57">
        <f t="shared" si="0"/>
        <v>0.38303030303030317</v>
      </c>
      <c r="AM22" s="34"/>
    </row>
    <row r="23" spans="1:39" s="11" customFormat="1" ht="76.05" customHeight="1" x14ac:dyDescent="0.3">
      <c r="A23" s="59"/>
      <c r="B23" s="25" t="s">
        <v>539</v>
      </c>
      <c r="C23" s="14" t="s">
        <v>553</v>
      </c>
      <c r="D23" s="57">
        <v>0.54</v>
      </c>
      <c r="E23" s="58">
        <v>0.52</v>
      </c>
      <c r="F23" s="58">
        <v>0.46</v>
      </c>
      <c r="G23" s="58">
        <v>0.51</v>
      </c>
      <c r="H23" s="58">
        <v>0.47</v>
      </c>
      <c r="I23" s="58">
        <v>0.51</v>
      </c>
      <c r="J23" s="58">
        <v>0.48</v>
      </c>
      <c r="K23" s="58">
        <v>0.5</v>
      </c>
      <c r="L23" s="58">
        <v>0.49</v>
      </c>
      <c r="M23" s="58">
        <v>0.43</v>
      </c>
      <c r="N23" s="58">
        <v>0.53</v>
      </c>
      <c r="O23" s="58">
        <v>0.53</v>
      </c>
      <c r="P23" s="58">
        <v>0.48</v>
      </c>
      <c r="Q23" s="58">
        <v>0.55000000000000004</v>
      </c>
      <c r="R23" s="58">
        <v>0.47</v>
      </c>
      <c r="S23" s="58">
        <v>0.52</v>
      </c>
      <c r="T23" s="58">
        <v>0.53</v>
      </c>
      <c r="U23" s="58">
        <v>0.49</v>
      </c>
      <c r="V23" s="58">
        <v>0.48</v>
      </c>
      <c r="W23" s="58">
        <v>0.52</v>
      </c>
      <c r="X23" s="58">
        <v>0.5</v>
      </c>
      <c r="Y23" s="58">
        <v>0.49</v>
      </c>
      <c r="Z23" s="58">
        <v>0.47</v>
      </c>
      <c r="AA23" s="58">
        <v>0.52</v>
      </c>
      <c r="AB23" s="58">
        <v>0.5</v>
      </c>
      <c r="AC23" s="58">
        <v>0.51</v>
      </c>
      <c r="AD23" s="58">
        <v>0.49</v>
      </c>
      <c r="AE23" s="58">
        <v>0.47</v>
      </c>
      <c r="AF23" s="58">
        <v>0.5</v>
      </c>
      <c r="AG23" s="58">
        <v>0.53</v>
      </c>
      <c r="AH23" s="58">
        <v>0.56000000000000005</v>
      </c>
      <c r="AI23" s="58">
        <v>0.54</v>
      </c>
      <c r="AJ23" s="58">
        <v>0.52</v>
      </c>
      <c r="AK23" s="58">
        <v>0.52</v>
      </c>
      <c r="AL23" s="57">
        <f t="shared" si="0"/>
        <v>0.50272727272727269</v>
      </c>
      <c r="AM23" s="34"/>
    </row>
    <row r="24" spans="1:39" s="11" customFormat="1" ht="76.05" customHeight="1" x14ac:dyDescent="0.3">
      <c r="A24" s="59"/>
      <c r="B24" s="25" t="s">
        <v>541</v>
      </c>
      <c r="C24" s="14" t="s">
        <v>554</v>
      </c>
      <c r="D24" s="57">
        <v>0.5</v>
      </c>
      <c r="E24" s="58">
        <v>0.45</v>
      </c>
      <c r="F24" s="58">
        <v>0.39</v>
      </c>
      <c r="G24" s="58">
        <v>0.43</v>
      </c>
      <c r="H24" s="58">
        <v>0.42</v>
      </c>
      <c r="I24" s="58">
        <v>0.41</v>
      </c>
      <c r="J24" s="58">
        <v>0.4</v>
      </c>
      <c r="K24" s="58">
        <v>0.43</v>
      </c>
      <c r="L24" s="58">
        <v>0.4</v>
      </c>
      <c r="M24" s="58">
        <v>0.41</v>
      </c>
      <c r="N24" s="58">
        <v>0.42</v>
      </c>
      <c r="O24" s="58">
        <v>0.48</v>
      </c>
      <c r="P24" s="58">
        <v>0.45</v>
      </c>
      <c r="Q24" s="58">
        <v>0.47</v>
      </c>
      <c r="R24" s="58">
        <v>0.42</v>
      </c>
      <c r="S24" s="58">
        <v>0.44</v>
      </c>
      <c r="T24" s="58">
        <v>0.47</v>
      </c>
      <c r="U24" s="58">
        <v>0.43</v>
      </c>
      <c r="V24" s="58">
        <v>0.42</v>
      </c>
      <c r="W24" s="58">
        <v>0.47</v>
      </c>
      <c r="X24" s="58">
        <v>0.4</v>
      </c>
      <c r="Y24" s="58">
        <v>0.39</v>
      </c>
      <c r="Z24" s="58">
        <v>0.42</v>
      </c>
      <c r="AA24" s="58">
        <v>0.43</v>
      </c>
      <c r="AB24" s="58">
        <v>0.43</v>
      </c>
      <c r="AC24" s="58">
        <v>0.44</v>
      </c>
      <c r="AD24" s="58">
        <v>0.41</v>
      </c>
      <c r="AE24" s="58">
        <v>0.43</v>
      </c>
      <c r="AF24" s="58">
        <v>0.4</v>
      </c>
      <c r="AG24" s="58">
        <v>0.44</v>
      </c>
      <c r="AH24" s="58">
        <v>0.48</v>
      </c>
      <c r="AI24" s="58">
        <v>0.46</v>
      </c>
      <c r="AJ24" s="58">
        <v>0.45</v>
      </c>
      <c r="AK24" s="58">
        <v>0.43</v>
      </c>
      <c r="AL24" s="57">
        <f t="shared" si="0"/>
        <v>0.43090909090909091</v>
      </c>
      <c r="AM24" s="34"/>
    </row>
    <row r="25" spans="1:39" s="11" customFormat="1" ht="124.8" x14ac:dyDescent="0.3">
      <c r="A25" s="59"/>
      <c r="B25" s="25" t="s">
        <v>555</v>
      </c>
      <c r="C25" s="14" t="s">
        <v>556</v>
      </c>
      <c r="D25" s="57">
        <v>0.51</v>
      </c>
      <c r="E25" s="58">
        <v>0.47</v>
      </c>
      <c r="F25" s="58">
        <v>0.41</v>
      </c>
      <c r="G25" s="58">
        <v>0.46</v>
      </c>
      <c r="H25" s="58">
        <v>0.43</v>
      </c>
      <c r="I25" s="58">
        <v>0.48</v>
      </c>
      <c r="J25" s="58">
        <v>0.45</v>
      </c>
      <c r="K25" s="58">
        <v>0.48</v>
      </c>
      <c r="L25" s="58">
        <v>0.44</v>
      </c>
      <c r="M25" s="58">
        <v>0.44</v>
      </c>
      <c r="N25" s="58">
        <v>0.5</v>
      </c>
      <c r="O25" s="58">
        <v>0.47</v>
      </c>
      <c r="P25" s="58">
        <v>0.46</v>
      </c>
      <c r="Q25" s="58">
        <v>0.47</v>
      </c>
      <c r="R25" s="58">
        <v>0.42</v>
      </c>
      <c r="S25" s="58">
        <v>0.46</v>
      </c>
      <c r="T25" s="58">
        <v>0.48</v>
      </c>
      <c r="U25" s="58">
        <v>0.43</v>
      </c>
      <c r="V25" s="58">
        <v>0.44</v>
      </c>
      <c r="W25" s="58">
        <v>0.45</v>
      </c>
      <c r="X25" s="58">
        <v>0.45</v>
      </c>
      <c r="Y25" s="58">
        <v>0.48</v>
      </c>
      <c r="Z25" s="58">
        <v>0.45</v>
      </c>
      <c r="AA25" s="58">
        <v>0.45</v>
      </c>
      <c r="AB25" s="58">
        <v>0.46</v>
      </c>
      <c r="AC25" s="58">
        <v>0.44</v>
      </c>
      <c r="AD25" s="58">
        <v>0.45</v>
      </c>
      <c r="AE25" s="58">
        <v>0.46</v>
      </c>
      <c r="AF25" s="58">
        <v>0.41</v>
      </c>
      <c r="AG25" s="58">
        <v>0.46</v>
      </c>
      <c r="AH25" s="58">
        <v>0.5</v>
      </c>
      <c r="AI25" s="58">
        <v>0.5</v>
      </c>
      <c r="AJ25" s="58">
        <v>0.46</v>
      </c>
      <c r="AK25" s="58">
        <v>0.45</v>
      </c>
      <c r="AL25" s="57">
        <f t="shared" si="0"/>
        <v>0.4563636363636363</v>
      </c>
      <c r="AM25" s="34"/>
    </row>
    <row r="26" spans="1:39" s="11" customFormat="1" ht="76.05" customHeight="1" x14ac:dyDescent="0.3">
      <c r="A26" s="59"/>
      <c r="B26" s="25" t="s">
        <v>557</v>
      </c>
      <c r="C26" s="14" t="s">
        <v>558</v>
      </c>
      <c r="D26" s="57">
        <v>0.46</v>
      </c>
      <c r="E26" s="58">
        <v>0.41</v>
      </c>
      <c r="F26" s="58">
        <v>0.37</v>
      </c>
      <c r="G26" s="58">
        <v>0.45</v>
      </c>
      <c r="H26" s="58">
        <v>0.37</v>
      </c>
      <c r="I26" s="58">
        <v>0.41</v>
      </c>
      <c r="J26" s="58">
        <v>0.38</v>
      </c>
      <c r="K26" s="58">
        <v>0.4</v>
      </c>
      <c r="L26" s="58">
        <v>0.39</v>
      </c>
      <c r="M26" s="58">
        <v>0.37</v>
      </c>
      <c r="N26" s="58">
        <v>0.41</v>
      </c>
      <c r="O26" s="58">
        <v>0.44</v>
      </c>
      <c r="P26" s="58">
        <v>0.42</v>
      </c>
      <c r="Q26" s="58">
        <v>0.46</v>
      </c>
      <c r="R26" s="58">
        <v>0.37</v>
      </c>
      <c r="S26" s="58">
        <v>0.43</v>
      </c>
      <c r="T26" s="58">
        <v>0.43</v>
      </c>
      <c r="U26" s="58">
        <v>0.43</v>
      </c>
      <c r="V26" s="58">
        <v>0.36</v>
      </c>
      <c r="W26" s="58">
        <v>0.42</v>
      </c>
      <c r="X26" s="58">
        <v>0.41</v>
      </c>
      <c r="Y26" s="58">
        <v>0.42</v>
      </c>
      <c r="Z26" s="58">
        <v>0.37</v>
      </c>
      <c r="AA26" s="58">
        <v>0.43</v>
      </c>
      <c r="AB26" s="58">
        <v>0.43</v>
      </c>
      <c r="AC26" s="58">
        <v>0.39</v>
      </c>
      <c r="AD26" s="58">
        <v>0.41</v>
      </c>
      <c r="AE26" s="58">
        <v>0.4</v>
      </c>
      <c r="AF26" s="58">
        <v>0.41</v>
      </c>
      <c r="AG26" s="58">
        <v>0.44</v>
      </c>
      <c r="AH26" s="58">
        <v>0.44</v>
      </c>
      <c r="AI26" s="58">
        <v>0.45</v>
      </c>
      <c r="AJ26" s="58">
        <v>0.42</v>
      </c>
      <c r="AK26" s="58">
        <v>0.4</v>
      </c>
      <c r="AL26" s="57">
        <f t="shared" si="0"/>
        <v>0.41030303030303023</v>
      </c>
      <c r="AM26" s="34"/>
    </row>
    <row r="27" spans="1:39" s="11" customFormat="1" ht="15.6" x14ac:dyDescent="0.3"/>
    <row r="28" spans="1:39" s="11" customFormat="1" ht="15.6" x14ac:dyDescent="0.3">
      <c r="A28" s="35" t="s">
        <v>781</v>
      </c>
    </row>
    <row r="29" spans="1:39" s="11" customFormat="1" ht="31.2" x14ac:dyDescent="0.3">
      <c r="A29" s="12" t="s">
        <v>479</v>
      </c>
      <c r="E29" s="12" t="str">
        <f>Districts_Setup!$B$4</f>
        <v>Ahmedabad</v>
      </c>
      <c r="F29" s="12" t="str">
        <f>Districts_Setup!$B$5</f>
        <v>Amreli</v>
      </c>
      <c r="G29" s="12" t="str">
        <f>Districts_Setup!$B$6</f>
        <v>Anand</v>
      </c>
      <c r="H29" s="12" t="str">
        <f>Districts_Setup!$B$7</f>
        <v>Aravalli</v>
      </c>
      <c r="I29" s="12" t="str">
        <f>Districts_Setup!$B$8</f>
        <v>Banaskantha</v>
      </c>
      <c r="J29" s="12" t="str">
        <f>Districts_Setup!$B$9</f>
        <v>Bharuch</v>
      </c>
      <c r="K29" s="12" t="str">
        <f>Districts_Setup!$B$10</f>
        <v>Bhavnagar</v>
      </c>
      <c r="L29" s="12" t="str">
        <f>Districts_Setup!$B$11</f>
        <v>Botad</v>
      </c>
      <c r="M29" s="12" t="str">
        <f>Districts_Setup!$B$12</f>
        <v>Chhota Udepur</v>
      </c>
      <c r="N29" s="12" t="str">
        <f>Districts_Setup!$B$13</f>
        <v>Dahod</v>
      </c>
      <c r="O29" s="12" t="str">
        <f>Districts_Setup!$B$14</f>
        <v>Dang</v>
      </c>
      <c r="P29" s="12" t="str">
        <f>Districts_Setup!$B$15</f>
        <v>Devbhoomi Dwarka</v>
      </c>
      <c r="Q29" s="12" t="str">
        <f>Districts_Setup!$B$16</f>
        <v>Gandhinagar</v>
      </c>
      <c r="R29" s="12" t="str">
        <f>Districts_Setup!$B$17</f>
        <v>Gir Somnath</v>
      </c>
      <c r="S29" s="12" t="str">
        <f>Districts_Setup!$B$18</f>
        <v>Jamnagar</v>
      </c>
      <c r="T29" s="12" t="str">
        <f>Districts_Setup!$B$19</f>
        <v>Junagadh</v>
      </c>
      <c r="U29" s="12" t="str">
        <f>Districts_Setup!$B$20</f>
        <v>Kutch</v>
      </c>
      <c r="V29" s="12" t="str">
        <f>Districts_Setup!$B$21</f>
        <v>Kheda</v>
      </c>
      <c r="W29" s="12" t="str">
        <f>Districts_Setup!$B$22</f>
        <v>Mahisagar</v>
      </c>
      <c r="X29" s="12" t="str">
        <f>Districts_Setup!$B$23</f>
        <v>Mehsana</v>
      </c>
      <c r="Y29" s="12" t="str">
        <f>Districts_Setup!$B$24</f>
        <v>Morbi</v>
      </c>
      <c r="Z29" s="12" t="str">
        <f>Districts_Setup!$B$25</f>
        <v>Narmada</v>
      </c>
      <c r="AA29" s="12" t="str">
        <f>Districts_Setup!$B$26</f>
        <v>Navsari</v>
      </c>
      <c r="AB29" s="12" t="str">
        <f>Districts_Setup!$B$27</f>
        <v>Panchmahal</v>
      </c>
      <c r="AC29" s="12" t="str">
        <f>Districts_Setup!$B$28</f>
        <v>Patan</v>
      </c>
      <c r="AD29" s="12" t="str">
        <f>Districts_Setup!$B$29</f>
        <v>Porbandar</v>
      </c>
      <c r="AE29" s="12" t="str">
        <f>Districts_Setup!$B$30</f>
        <v>Rajkot</v>
      </c>
      <c r="AF29" s="12" t="str">
        <f>Districts_Setup!$B$31</f>
        <v>Sabarkantha</v>
      </c>
      <c r="AG29" s="12" t="str">
        <f>Districts_Setup!$B$32</f>
        <v>Surat</v>
      </c>
      <c r="AH29" s="12" t="str">
        <f>Districts_Setup!$B$33</f>
        <v>Surendranagar</v>
      </c>
      <c r="AI29" s="12" t="str">
        <f>Districts_Setup!$B$34</f>
        <v>Tapi</v>
      </c>
      <c r="AJ29" s="12" t="str">
        <f>Districts_Setup!$B$35</f>
        <v>Vadodara</v>
      </c>
      <c r="AK29" s="12" t="str">
        <f>Districts_Setup!$B$36</f>
        <v>Valsad</v>
      </c>
      <c r="AL29" s="36" t="s">
        <v>518</v>
      </c>
    </row>
    <row r="30" spans="1:39" s="11" customFormat="1" ht="15.6" x14ac:dyDescent="0.3">
      <c r="A30" s="18" t="s">
        <v>485</v>
      </c>
      <c r="E30" s="57">
        <f t="shared" ref="E30:AK30" si="1">IFERROR(AVERAGE(E4:E5),0)</f>
        <v>0.51500000000000001</v>
      </c>
      <c r="F30" s="57">
        <f t="shared" si="1"/>
        <v>0.48</v>
      </c>
      <c r="G30" s="57">
        <f t="shared" si="1"/>
        <v>0.53500000000000003</v>
      </c>
      <c r="H30" s="57">
        <f t="shared" si="1"/>
        <v>0.49</v>
      </c>
      <c r="I30" s="57">
        <f t="shared" si="1"/>
        <v>0.52500000000000002</v>
      </c>
      <c r="J30" s="57">
        <f t="shared" si="1"/>
        <v>0.45499999999999996</v>
      </c>
      <c r="K30" s="57">
        <f t="shared" si="1"/>
        <v>0.52500000000000002</v>
      </c>
      <c r="L30" s="57">
        <f t="shared" si="1"/>
        <v>0.505</v>
      </c>
      <c r="M30" s="57">
        <f t="shared" si="1"/>
        <v>0.45</v>
      </c>
      <c r="N30" s="57">
        <f t="shared" si="1"/>
        <v>0.49</v>
      </c>
      <c r="O30" s="57">
        <f t="shared" si="1"/>
        <v>0.54</v>
      </c>
      <c r="P30" s="57">
        <f t="shared" si="1"/>
        <v>0.56000000000000005</v>
      </c>
      <c r="Q30" s="57">
        <f t="shared" si="1"/>
        <v>0.54500000000000004</v>
      </c>
      <c r="R30" s="57">
        <f t="shared" si="1"/>
        <v>0.45499999999999996</v>
      </c>
      <c r="S30" s="57">
        <f t="shared" si="1"/>
        <v>0.51</v>
      </c>
      <c r="T30" s="57">
        <f t="shared" si="1"/>
        <v>0.55499999999999994</v>
      </c>
      <c r="U30" s="57">
        <f t="shared" si="1"/>
        <v>0.51500000000000001</v>
      </c>
      <c r="V30" s="57">
        <f t="shared" si="1"/>
        <v>0.47</v>
      </c>
      <c r="W30" s="57">
        <f t="shared" si="1"/>
        <v>0.495</v>
      </c>
      <c r="X30" s="57">
        <f t="shared" si="1"/>
        <v>0.55499999999999994</v>
      </c>
      <c r="Y30" s="57">
        <f t="shared" si="1"/>
        <v>0.505</v>
      </c>
      <c r="Z30" s="57">
        <f t="shared" si="1"/>
        <v>0.48</v>
      </c>
      <c r="AA30" s="57">
        <f t="shared" si="1"/>
        <v>0.52</v>
      </c>
      <c r="AB30" s="57">
        <f t="shared" si="1"/>
        <v>0.52</v>
      </c>
      <c r="AC30" s="57">
        <f t="shared" si="1"/>
        <v>0.52</v>
      </c>
      <c r="AD30" s="57">
        <f t="shared" si="1"/>
        <v>0.51500000000000001</v>
      </c>
      <c r="AE30" s="57">
        <f t="shared" si="1"/>
        <v>0.49</v>
      </c>
      <c r="AF30" s="57">
        <f t="shared" si="1"/>
        <v>0.49</v>
      </c>
      <c r="AG30" s="57">
        <f t="shared" si="1"/>
        <v>0.54500000000000004</v>
      </c>
      <c r="AH30" s="57">
        <f t="shared" si="1"/>
        <v>0.56499999999999995</v>
      </c>
      <c r="AI30" s="57">
        <f t="shared" si="1"/>
        <v>0.54</v>
      </c>
      <c r="AJ30" s="57">
        <f t="shared" si="1"/>
        <v>0.53500000000000003</v>
      </c>
      <c r="AK30" s="57">
        <f t="shared" si="1"/>
        <v>0.51500000000000001</v>
      </c>
      <c r="AL30" s="60">
        <f>IFERROR(AVERAGE(D4:D5),0)</f>
        <v>0.57000000000000006</v>
      </c>
    </row>
    <row r="31" spans="1:39" s="11" customFormat="1" ht="15.6" x14ac:dyDescent="0.3">
      <c r="A31" s="18" t="s">
        <v>493</v>
      </c>
      <c r="E31" s="57">
        <f t="shared" ref="E31:AK31" si="2">IFERROR(AVERAGE(E6:E15),0)</f>
        <v>0.38800000000000001</v>
      </c>
      <c r="F31" s="57">
        <f t="shared" si="2"/>
        <v>0.33200000000000002</v>
      </c>
      <c r="G31" s="57">
        <f t="shared" si="2"/>
        <v>0.39499999999999996</v>
      </c>
      <c r="H31" s="57">
        <f t="shared" si="2"/>
        <v>0.36199999999999999</v>
      </c>
      <c r="I31" s="57">
        <f t="shared" si="2"/>
        <v>0.3829999999999999</v>
      </c>
      <c r="J31" s="57">
        <f t="shared" si="2"/>
        <v>0.34799999999999998</v>
      </c>
      <c r="K31" s="57">
        <f t="shared" si="2"/>
        <v>0.376</v>
      </c>
      <c r="L31" s="57">
        <f t="shared" si="2"/>
        <v>0.36600000000000005</v>
      </c>
      <c r="M31" s="57">
        <f t="shared" si="2"/>
        <v>0.32500000000000001</v>
      </c>
      <c r="N31" s="57">
        <f t="shared" si="2"/>
        <v>0.39799999999999996</v>
      </c>
      <c r="O31" s="57">
        <f t="shared" si="2"/>
        <v>0.35699999999999998</v>
      </c>
      <c r="P31" s="57">
        <f t="shared" si="2"/>
        <v>0.41200000000000003</v>
      </c>
      <c r="Q31" s="57">
        <f t="shared" si="2"/>
        <v>0.41</v>
      </c>
      <c r="R31" s="57">
        <f t="shared" si="2"/>
        <v>0.36899999999999994</v>
      </c>
      <c r="S31" s="57">
        <f t="shared" si="2"/>
        <v>0.376</v>
      </c>
      <c r="T31" s="57">
        <f t="shared" si="2"/>
        <v>0.41600000000000004</v>
      </c>
      <c r="U31" s="57">
        <f t="shared" si="2"/>
        <v>0.37899999999999995</v>
      </c>
      <c r="V31" s="57">
        <f t="shared" si="2"/>
        <v>0.32900000000000001</v>
      </c>
      <c r="W31" s="57">
        <f t="shared" si="2"/>
        <v>0.38899999999999996</v>
      </c>
      <c r="X31" s="57">
        <f t="shared" si="2"/>
        <v>0.39900000000000002</v>
      </c>
      <c r="Y31" s="57">
        <f t="shared" si="2"/>
        <v>0.38800000000000001</v>
      </c>
      <c r="Z31" s="57">
        <f t="shared" si="2"/>
        <v>0.36399999999999999</v>
      </c>
      <c r="AA31" s="57">
        <f t="shared" si="2"/>
        <v>0.377</v>
      </c>
      <c r="AB31" s="57">
        <f t="shared" si="2"/>
        <v>0.40700000000000003</v>
      </c>
      <c r="AC31" s="57">
        <f t="shared" si="2"/>
        <v>0.38899999999999996</v>
      </c>
      <c r="AD31" s="57">
        <f t="shared" si="2"/>
        <v>0.36900000000000005</v>
      </c>
      <c r="AE31" s="57">
        <f t="shared" si="2"/>
        <v>0.38100000000000001</v>
      </c>
      <c r="AF31" s="57">
        <f t="shared" si="2"/>
        <v>0.374</v>
      </c>
      <c r="AG31" s="57">
        <f t="shared" si="2"/>
        <v>0.40600000000000003</v>
      </c>
      <c r="AH31" s="57">
        <f t="shared" si="2"/>
        <v>0.42400000000000004</v>
      </c>
      <c r="AI31" s="57">
        <f t="shared" si="2"/>
        <v>0.40499999999999997</v>
      </c>
      <c r="AJ31" s="57">
        <f t="shared" si="2"/>
        <v>0.40300000000000002</v>
      </c>
      <c r="AK31" s="57">
        <f t="shared" si="2"/>
        <v>0.378</v>
      </c>
      <c r="AL31" s="60">
        <f>IFERROR(AVERAGE(D6:D15),0)</f>
        <v>0.441</v>
      </c>
    </row>
    <row r="32" spans="1:39" s="11" customFormat="1" ht="15.6" x14ac:dyDescent="0.3">
      <c r="A32" s="18" t="s">
        <v>543</v>
      </c>
      <c r="E32" s="57">
        <f t="shared" ref="E32:AK32" si="3">IFERROR(AVERAGE(E16:E26),0)</f>
        <v>0.45545454545454545</v>
      </c>
      <c r="F32" s="57">
        <f t="shared" si="3"/>
        <v>0.40727272727272729</v>
      </c>
      <c r="G32" s="57">
        <f t="shared" si="3"/>
        <v>0.45818181818181819</v>
      </c>
      <c r="H32" s="57">
        <f t="shared" si="3"/>
        <v>0.42454545454545456</v>
      </c>
      <c r="I32" s="57">
        <f t="shared" si="3"/>
        <v>0.45454545454545453</v>
      </c>
      <c r="J32" s="57">
        <f t="shared" si="3"/>
        <v>0.41636363636363638</v>
      </c>
      <c r="K32" s="57">
        <f t="shared" si="3"/>
        <v>0.45454545454545453</v>
      </c>
      <c r="L32" s="57">
        <f t="shared" si="3"/>
        <v>0.42636363636363633</v>
      </c>
      <c r="M32" s="57">
        <f t="shared" si="3"/>
        <v>0.40636363636363643</v>
      </c>
      <c r="N32" s="57">
        <f t="shared" si="3"/>
        <v>0.46545454545454545</v>
      </c>
      <c r="O32" s="57">
        <f t="shared" si="3"/>
        <v>0.4745454545454546</v>
      </c>
      <c r="P32" s="57">
        <f t="shared" si="3"/>
        <v>0.44636363636363635</v>
      </c>
      <c r="Q32" s="57">
        <f t="shared" si="3"/>
        <v>0.47818181818181815</v>
      </c>
      <c r="R32" s="57">
        <f t="shared" si="3"/>
        <v>0.40818181818181815</v>
      </c>
      <c r="S32" s="57">
        <f t="shared" si="3"/>
        <v>0.44272727272727275</v>
      </c>
      <c r="T32" s="57">
        <f t="shared" si="3"/>
        <v>0.47090909090909089</v>
      </c>
      <c r="U32" s="57">
        <f t="shared" si="3"/>
        <v>0.43454545454545457</v>
      </c>
      <c r="V32" s="57">
        <f t="shared" si="3"/>
        <v>0.42181818181818187</v>
      </c>
      <c r="W32" s="57">
        <f t="shared" si="3"/>
        <v>0.46909090909090911</v>
      </c>
      <c r="X32" s="57">
        <f t="shared" si="3"/>
        <v>0.4336363636363636</v>
      </c>
      <c r="Y32" s="57">
        <f t="shared" si="3"/>
        <v>0.43454545454545457</v>
      </c>
      <c r="Z32" s="57">
        <f t="shared" si="3"/>
        <v>0.41727272727272735</v>
      </c>
      <c r="AA32" s="57">
        <f t="shared" si="3"/>
        <v>0.44636363636363635</v>
      </c>
      <c r="AB32" s="57">
        <f t="shared" si="3"/>
        <v>0.45</v>
      </c>
      <c r="AC32" s="57">
        <f t="shared" si="3"/>
        <v>0.4518181818181819</v>
      </c>
      <c r="AD32" s="57">
        <f t="shared" si="3"/>
        <v>0.4390909090909092</v>
      </c>
      <c r="AE32" s="57">
        <f t="shared" si="3"/>
        <v>0.43545454545454554</v>
      </c>
      <c r="AF32" s="57">
        <f t="shared" si="3"/>
        <v>0.42818181818181816</v>
      </c>
      <c r="AG32" s="57">
        <f t="shared" si="3"/>
        <v>0.4554545454545455</v>
      </c>
      <c r="AH32" s="57">
        <f t="shared" si="3"/>
        <v>0.48636363636363639</v>
      </c>
      <c r="AI32" s="57">
        <f t="shared" si="3"/>
        <v>0.48636363636363639</v>
      </c>
      <c r="AJ32" s="57">
        <f t="shared" si="3"/>
        <v>0.45636363636363642</v>
      </c>
      <c r="AK32" s="57">
        <f t="shared" si="3"/>
        <v>0.44454545454545458</v>
      </c>
      <c r="AL32" s="60">
        <f>IFERROR(AVERAGE(D16:D26),0)</f>
        <v>0.48181818181818181</v>
      </c>
    </row>
    <row r="33" spans="1:38" s="11" customFormat="1" ht="46.8" x14ac:dyDescent="0.3">
      <c r="A33" s="41" t="s">
        <v>559</v>
      </c>
      <c r="B33" s="63"/>
      <c r="C33" s="63"/>
      <c r="D33" s="63"/>
      <c r="E33" s="61">
        <f t="shared" ref="E33:AL33" si="4">IFERROR(AVERAGE(E30:E32),0)</f>
        <v>0.45281818181818184</v>
      </c>
      <c r="F33" s="61">
        <f t="shared" si="4"/>
        <v>0.40642424242424241</v>
      </c>
      <c r="G33" s="61">
        <f t="shared" si="4"/>
        <v>0.46272727272727271</v>
      </c>
      <c r="H33" s="61">
        <f t="shared" si="4"/>
        <v>0.42551515151515157</v>
      </c>
      <c r="I33" s="61">
        <f t="shared" si="4"/>
        <v>0.45418181818181819</v>
      </c>
      <c r="J33" s="61">
        <f t="shared" si="4"/>
        <v>0.40645454545454546</v>
      </c>
      <c r="K33" s="61">
        <f t="shared" si="4"/>
        <v>0.45184848484848489</v>
      </c>
      <c r="L33" s="61">
        <f t="shared" si="4"/>
        <v>0.43245454545454542</v>
      </c>
      <c r="M33" s="61">
        <f t="shared" si="4"/>
        <v>0.3937878787878788</v>
      </c>
      <c r="N33" s="61">
        <f t="shared" si="4"/>
        <v>0.45115151515151508</v>
      </c>
      <c r="O33" s="61">
        <f t="shared" si="4"/>
        <v>0.45718181818181819</v>
      </c>
      <c r="P33" s="61">
        <f t="shared" si="4"/>
        <v>0.47278787878787881</v>
      </c>
      <c r="Q33" s="61">
        <f t="shared" si="4"/>
        <v>0.47772727272727272</v>
      </c>
      <c r="R33" s="61">
        <f t="shared" si="4"/>
        <v>0.41072727272727266</v>
      </c>
      <c r="S33" s="61">
        <f t="shared" si="4"/>
        <v>0.44290909090909092</v>
      </c>
      <c r="T33" s="61">
        <f t="shared" si="4"/>
        <v>0.48063636363636358</v>
      </c>
      <c r="U33" s="61">
        <f t="shared" si="4"/>
        <v>0.44284848484848482</v>
      </c>
      <c r="V33" s="61">
        <f t="shared" si="4"/>
        <v>0.40693939393939393</v>
      </c>
      <c r="W33" s="61">
        <f t="shared" si="4"/>
        <v>0.45103030303030306</v>
      </c>
      <c r="X33" s="61">
        <f t="shared" si="4"/>
        <v>0.46254545454545454</v>
      </c>
      <c r="Y33" s="61">
        <f t="shared" si="4"/>
        <v>0.44251515151515153</v>
      </c>
      <c r="Z33" s="61">
        <f t="shared" si="4"/>
        <v>0.42042424242424242</v>
      </c>
      <c r="AA33" s="61">
        <f t="shared" si="4"/>
        <v>0.44778787878787879</v>
      </c>
      <c r="AB33" s="61">
        <f t="shared" si="4"/>
        <v>0.45900000000000002</v>
      </c>
      <c r="AC33" s="61">
        <f t="shared" si="4"/>
        <v>0.45360606060606062</v>
      </c>
      <c r="AD33" s="61">
        <f t="shared" si="4"/>
        <v>0.44103030303030311</v>
      </c>
      <c r="AE33" s="61">
        <f t="shared" si="4"/>
        <v>0.43548484848484853</v>
      </c>
      <c r="AF33" s="61">
        <f t="shared" si="4"/>
        <v>0.43072727272727268</v>
      </c>
      <c r="AG33" s="61">
        <f t="shared" si="4"/>
        <v>0.46881818181818186</v>
      </c>
      <c r="AH33" s="61">
        <f t="shared" si="4"/>
        <v>0.49178787878787883</v>
      </c>
      <c r="AI33" s="61">
        <f t="shared" si="4"/>
        <v>0.47712121212121211</v>
      </c>
      <c r="AJ33" s="61">
        <f t="shared" si="4"/>
        <v>0.46478787878787881</v>
      </c>
      <c r="AK33" s="61">
        <f t="shared" si="4"/>
        <v>0.44584848484848488</v>
      </c>
      <c r="AL33" s="62">
        <f t="shared" si="4"/>
        <v>0.49760606060606066</v>
      </c>
    </row>
  </sheetData>
  <mergeCells count="2">
    <mergeCell ref="A1:AM1"/>
    <mergeCell ref="A2:AM2"/>
  </mergeCells>
  <conditionalFormatting sqref="E30:AK32">
    <cfRule type="colorScale" priority="2">
      <colorScale>
        <cfvo type="min"/>
        <cfvo type="percentile" val="50"/>
        <cfvo type="max"/>
        <color rgb="FFF4CCCC"/>
        <color rgb="FFFFF2CC"/>
        <color rgb="FFD9EAD3"/>
      </colorScale>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AM51"/>
  <sheetViews>
    <sheetView showGridLines="0" topLeftCell="Z6" zoomScaleNormal="100" workbookViewId="0">
      <selection activeCell="E51" sqref="E51:AK51"/>
    </sheetView>
  </sheetViews>
  <sheetFormatPr defaultColWidth="8.6640625" defaultRowHeight="15.6" x14ac:dyDescent="0.3"/>
  <cols>
    <col min="1" max="1" width="22" style="11" customWidth="1"/>
    <col min="2" max="2" width="12" style="11" customWidth="1"/>
    <col min="3" max="3" width="50" style="11" customWidth="1"/>
    <col min="4" max="4" width="13" style="11" customWidth="1"/>
    <col min="5" max="37" width="15.77734375" style="11" customWidth="1"/>
    <col min="38" max="38" width="12" style="11" customWidth="1"/>
    <col min="39" max="39" width="50" style="11" customWidth="1"/>
    <col min="40" max="16384" width="8.6640625" style="11"/>
  </cols>
  <sheetData>
    <row r="1" spans="1:39" ht="25.5" customHeight="1" x14ac:dyDescent="0.3">
      <c r="A1" s="86" t="s">
        <v>782</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row>
    <row r="2" spans="1:39" x14ac:dyDescent="0.3">
      <c r="A2" s="80" t="s">
        <v>478</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row>
    <row r="3" spans="1:39" ht="31.5" customHeight="1" x14ac:dyDescent="0.3">
      <c r="A3" s="43" t="s">
        <v>479</v>
      </c>
      <c r="B3" s="43" t="s">
        <v>480</v>
      </c>
      <c r="C3" s="43" t="s">
        <v>481</v>
      </c>
      <c r="D3" s="43" t="s">
        <v>482</v>
      </c>
      <c r="E3" s="43" t="str">
        <f>Districts_Setup!$B$4</f>
        <v>Ahmedabad</v>
      </c>
      <c r="F3" s="43" t="str">
        <f>Districts_Setup!$B$5</f>
        <v>Amreli</v>
      </c>
      <c r="G3" s="43" t="str">
        <f>Districts_Setup!$B$6</f>
        <v>Anand</v>
      </c>
      <c r="H3" s="43" t="str">
        <f>Districts_Setup!$B$7</f>
        <v>Aravalli</v>
      </c>
      <c r="I3" s="43" t="str">
        <f>Districts_Setup!$B$8</f>
        <v>Banaskantha</v>
      </c>
      <c r="J3" s="43" t="str">
        <f>Districts_Setup!$B$9</f>
        <v>Bharuch</v>
      </c>
      <c r="K3" s="43" t="str">
        <f>Districts_Setup!$B$10</f>
        <v>Bhavnagar</v>
      </c>
      <c r="L3" s="43" t="str">
        <f>Districts_Setup!$B$11</f>
        <v>Botad</v>
      </c>
      <c r="M3" s="43" t="str">
        <f>Districts_Setup!$B$12</f>
        <v>Chhota Udepur</v>
      </c>
      <c r="N3" s="43" t="str">
        <f>Districts_Setup!$B$13</f>
        <v>Dahod</v>
      </c>
      <c r="O3" s="43" t="str">
        <f>Districts_Setup!$B$14</f>
        <v>Dang</v>
      </c>
      <c r="P3" s="43" t="str">
        <f>Districts_Setup!$B$15</f>
        <v>Devbhoomi Dwarka</v>
      </c>
      <c r="Q3" s="43" t="str">
        <f>Districts_Setup!$B$16</f>
        <v>Gandhinagar</v>
      </c>
      <c r="R3" s="43" t="str">
        <f>Districts_Setup!$B$17</f>
        <v>Gir Somnath</v>
      </c>
      <c r="S3" s="43" t="str">
        <f>Districts_Setup!$B$18</f>
        <v>Jamnagar</v>
      </c>
      <c r="T3" s="43" t="str">
        <f>Districts_Setup!$B$19</f>
        <v>Junagadh</v>
      </c>
      <c r="U3" s="43" t="str">
        <f>Districts_Setup!$B$20</f>
        <v>Kutch</v>
      </c>
      <c r="V3" s="43" t="str">
        <f>Districts_Setup!$B$21</f>
        <v>Kheda</v>
      </c>
      <c r="W3" s="43" t="str">
        <f>Districts_Setup!$B$22</f>
        <v>Mahisagar</v>
      </c>
      <c r="X3" s="43" t="str">
        <f>Districts_Setup!$B$23</f>
        <v>Mehsana</v>
      </c>
      <c r="Y3" s="43" t="str">
        <f>Districts_Setup!$B$24</f>
        <v>Morbi</v>
      </c>
      <c r="Z3" s="43" t="str">
        <f>Districts_Setup!$B$25</f>
        <v>Narmada</v>
      </c>
      <c r="AA3" s="43" t="str">
        <f>Districts_Setup!$B$26</f>
        <v>Navsari</v>
      </c>
      <c r="AB3" s="43" t="str">
        <f>Districts_Setup!$B$27</f>
        <v>Panchmahal</v>
      </c>
      <c r="AC3" s="43" t="str">
        <f>Districts_Setup!$B$28</f>
        <v>Patan</v>
      </c>
      <c r="AD3" s="43" t="str">
        <f>Districts_Setup!$B$29</f>
        <v>Porbandar</v>
      </c>
      <c r="AE3" s="43" t="str">
        <f>Districts_Setup!$B$30</f>
        <v>Rajkot</v>
      </c>
      <c r="AF3" s="43" t="str">
        <f>Districts_Setup!$B$31</f>
        <v>Sabarkantha</v>
      </c>
      <c r="AG3" s="43" t="str">
        <f>Districts_Setup!$B$32</f>
        <v>Surat</v>
      </c>
      <c r="AH3" s="43" t="str">
        <f>Districts_Setup!$B$33</f>
        <v>Surendranagar</v>
      </c>
      <c r="AI3" s="43" t="str">
        <f>Districts_Setup!$B$34</f>
        <v>Tapi</v>
      </c>
      <c r="AJ3" s="43" t="str">
        <f>Districts_Setup!$B$35</f>
        <v>Vadodara</v>
      </c>
      <c r="AK3" s="43" t="str">
        <f>Districts_Setup!$B$36</f>
        <v>Valsad</v>
      </c>
      <c r="AL3" s="36" t="s">
        <v>483</v>
      </c>
      <c r="AM3" s="36" t="s">
        <v>484</v>
      </c>
    </row>
    <row r="4" spans="1:39" ht="45" customHeight="1" x14ac:dyDescent="0.3">
      <c r="A4" s="56" t="s">
        <v>485</v>
      </c>
      <c r="B4" s="25" t="s">
        <v>524</v>
      </c>
      <c r="C4" s="14" t="s">
        <v>560</v>
      </c>
      <c r="D4" s="57">
        <v>0.54</v>
      </c>
      <c r="E4" s="58">
        <v>0.48</v>
      </c>
      <c r="F4" s="58">
        <v>0.5</v>
      </c>
      <c r="G4" s="58">
        <v>0.48</v>
      </c>
      <c r="H4" s="58">
        <v>0.44</v>
      </c>
      <c r="I4" s="58">
        <v>0.51</v>
      </c>
      <c r="J4" s="58">
        <v>0.51</v>
      </c>
      <c r="K4" s="58">
        <v>0.53</v>
      </c>
      <c r="L4" s="58">
        <v>0.48</v>
      </c>
      <c r="M4" s="58">
        <v>0.43</v>
      </c>
      <c r="N4" s="58">
        <v>0.4</v>
      </c>
      <c r="O4" s="58">
        <v>0.44</v>
      </c>
      <c r="P4" s="58">
        <v>0.54</v>
      </c>
      <c r="Q4" s="58">
        <v>0.59</v>
      </c>
      <c r="R4" s="58">
        <v>0.45</v>
      </c>
      <c r="S4" s="58">
        <v>0.53</v>
      </c>
      <c r="T4" s="58">
        <v>0.52</v>
      </c>
      <c r="U4" s="58">
        <v>0.53</v>
      </c>
      <c r="V4" s="58">
        <v>0.45</v>
      </c>
      <c r="W4" s="58">
        <v>0.44</v>
      </c>
      <c r="X4" s="58">
        <v>0.5</v>
      </c>
      <c r="Y4" s="58">
        <v>0.49</v>
      </c>
      <c r="Z4" s="58">
        <v>0.5</v>
      </c>
      <c r="AA4" s="58">
        <v>0.53</v>
      </c>
      <c r="AB4" s="58">
        <v>0.44</v>
      </c>
      <c r="AC4" s="58">
        <v>0.48</v>
      </c>
      <c r="AD4" s="58">
        <v>0.49</v>
      </c>
      <c r="AE4" s="58">
        <v>0.53</v>
      </c>
      <c r="AF4" s="58">
        <v>0.48</v>
      </c>
      <c r="AG4" s="58">
        <v>0.56000000000000005</v>
      </c>
      <c r="AH4" s="58">
        <v>0.46</v>
      </c>
      <c r="AI4" s="58">
        <v>0.53</v>
      </c>
      <c r="AJ4" s="58">
        <v>0.55000000000000004</v>
      </c>
      <c r="AK4" s="58">
        <v>0.5</v>
      </c>
      <c r="AL4" s="57">
        <f t="shared" ref="AL4:AL43" si="0">IFERROR(AVERAGE(E4:AK4),0)</f>
        <v>0.4936363636363636</v>
      </c>
      <c r="AM4" s="34" t="s">
        <v>488</v>
      </c>
    </row>
    <row r="5" spans="1:39" ht="70.05" customHeight="1" x14ac:dyDescent="0.3">
      <c r="A5" s="56" t="s">
        <v>493</v>
      </c>
      <c r="B5" s="25" t="s">
        <v>526</v>
      </c>
      <c r="C5" s="14" t="s">
        <v>561</v>
      </c>
      <c r="D5" s="57">
        <v>0.39</v>
      </c>
      <c r="E5" s="58">
        <v>0.35</v>
      </c>
      <c r="F5" s="58">
        <v>0.36</v>
      </c>
      <c r="G5" s="58">
        <v>0.34</v>
      </c>
      <c r="H5" s="58">
        <v>0.35</v>
      </c>
      <c r="I5" s="58">
        <v>0.37</v>
      </c>
      <c r="J5" s="58">
        <v>0.34</v>
      </c>
      <c r="K5" s="58">
        <v>0.37</v>
      </c>
      <c r="L5" s="58">
        <v>0.34</v>
      </c>
      <c r="M5" s="58">
        <v>0.28999999999999998</v>
      </c>
      <c r="N5" s="58">
        <v>0.3</v>
      </c>
      <c r="O5" s="58">
        <v>0.28999999999999998</v>
      </c>
      <c r="P5" s="58">
        <v>0.38</v>
      </c>
      <c r="Q5" s="58">
        <v>0.42</v>
      </c>
      <c r="R5" s="58">
        <v>0.33</v>
      </c>
      <c r="S5" s="58">
        <v>0.35</v>
      </c>
      <c r="T5" s="58">
        <v>0.34</v>
      </c>
      <c r="U5" s="58">
        <v>0.36</v>
      </c>
      <c r="V5" s="58">
        <v>0.31</v>
      </c>
      <c r="W5" s="58">
        <v>0.34</v>
      </c>
      <c r="X5" s="58">
        <v>0.35</v>
      </c>
      <c r="Y5" s="58">
        <v>0.38</v>
      </c>
      <c r="Z5" s="58">
        <v>0.32</v>
      </c>
      <c r="AA5" s="58">
        <v>0.36</v>
      </c>
      <c r="AB5" s="58">
        <v>0.31</v>
      </c>
      <c r="AC5" s="58">
        <v>0.37</v>
      </c>
      <c r="AD5" s="58">
        <v>0.31</v>
      </c>
      <c r="AE5" s="58">
        <v>0.38</v>
      </c>
      <c r="AF5" s="58">
        <v>0.35</v>
      </c>
      <c r="AG5" s="58">
        <v>0.39</v>
      </c>
      <c r="AH5" s="58">
        <v>0.34</v>
      </c>
      <c r="AI5" s="58">
        <v>0.31</v>
      </c>
      <c r="AJ5" s="58">
        <v>0.36</v>
      </c>
      <c r="AK5" s="58">
        <v>0.35</v>
      </c>
      <c r="AL5" s="57">
        <f t="shared" si="0"/>
        <v>0.34575757575757576</v>
      </c>
      <c r="AM5" s="34"/>
    </row>
    <row r="6" spans="1:39" ht="61.05" customHeight="1" x14ac:dyDescent="0.3">
      <c r="A6" s="59"/>
      <c r="B6" s="25" t="s">
        <v>530</v>
      </c>
      <c r="C6" s="14" t="s">
        <v>562</v>
      </c>
      <c r="D6" s="57">
        <v>0.31</v>
      </c>
      <c r="E6" s="58">
        <v>0.28000000000000003</v>
      </c>
      <c r="F6" s="58">
        <v>0.26</v>
      </c>
      <c r="G6" s="58">
        <v>0.3</v>
      </c>
      <c r="H6" s="58">
        <v>0.25</v>
      </c>
      <c r="I6" s="58">
        <v>0.28000000000000003</v>
      </c>
      <c r="J6" s="58">
        <v>0.3</v>
      </c>
      <c r="K6" s="58">
        <v>0.27</v>
      </c>
      <c r="L6" s="58">
        <v>0.25</v>
      </c>
      <c r="M6" s="58">
        <v>0.28000000000000003</v>
      </c>
      <c r="N6" s="58">
        <v>0.28000000000000003</v>
      </c>
      <c r="O6" s="58">
        <v>0.24</v>
      </c>
      <c r="P6" s="58">
        <v>0.28999999999999998</v>
      </c>
      <c r="Q6" s="58">
        <v>0.3</v>
      </c>
      <c r="R6" s="58">
        <v>0.28000000000000003</v>
      </c>
      <c r="S6" s="58">
        <v>0.3</v>
      </c>
      <c r="T6" s="58">
        <v>0.28999999999999998</v>
      </c>
      <c r="U6" s="58">
        <v>0.27</v>
      </c>
      <c r="V6" s="58">
        <v>0.27</v>
      </c>
      <c r="W6" s="58">
        <v>0.28999999999999998</v>
      </c>
      <c r="X6" s="58">
        <v>0.28000000000000003</v>
      </c>
      <c r="Y6" s="58">
        <v>0.25</v>
      </c>
      <c r="Z6" s="58">
        <v>0.25</v>
      </c>
      <c r="AA6" s="58">
        <v>0.28000000000000003</v>
      </c>
      <c r="AB6" s="58">
        <v>0.26</v>
      </c>
      <c r="AC6" s="58">
        <v>0.28000000000000003</v>
      </c>
      <c r="AD6" s="58">
        <v>0.28000000000000003</v>
      </c>
      <c r="AE6" s="58">
        <v>0.3</v>
      </c>
      <c r="AF6" s="58">
        <v>0.28999999999999998</v>
      </c>
      <c r="AG6" s="58">
        <v>0.28999999999999998</v>
      </c>
      <c r="AH6" s="58">
        <v>0.28000000000000003</v>
      </c>
      <c r="AI6" s="58">
        <v>0.27</v>
      </c>
      <c r="AJ6" s="58">
        <v>0.3</v>
      </c>
      <c r="AK6" s="58">
        <v>0.28999999999999998</v>
      </c>
      <c r="AL6" s="57">
        <f t="shared" si="0"/>
        <v>0.2781818181818182</v>
      </c>
      <c r="AM6" s="34"/>
    </row>
    <row r="7" spans="1:39" ht="45" customHeight="1" x14ac:dyDescent="0.3">
      <c r="A7" s="59"/>
      <c r="B7" s="25" t="s">
        <v>563</v>
      </c>
      <c r="C7" s="14" t="s">
        <v>564</v>
      </c>
      <c r="D7" s="57">
        <v>0.28000000000000003</v>
      </c>
      <c r="E7" s="58">
        <v>0.24</v>
      </c>
      <c r="F7" s="58">
        <v>0.23</v>
      </c>
      <c r="G7" s="58">
        <v>0.25</v>
      </c>
      <c r="H7" s="58">
        <v>0.24</v>
      </c>
      <c r="I7" s="58">
        <v>0.24</v>
      </c>
      <c r="J7" s="58">
        <v>0.23</v>
      </c>
      <c r="K7" s="58">
        <v>0.25</v>
      </c>
      <c r="L7" s="58">
        <v>0.23</v>
      </c>
      <c r="M7" s="58">
        <v>0.27</v>
      </c>
      <c r="N7" s="58">
        <v>0.26</v>
      </c>
      <c r="O7" s="58">
        <v>0.23</v>
      </c>
      <c r="P7" s="58">
        <v>0.21</v>
      </c>
      <c r="Q7" s="58">
        <v>0.25</v>
      </c>
      <c r="R7" s="58">
        <v>0.23</v>
      </c>
      <c r="S7" s="58">
        <v>0.25</v>
      </c>
      <c r="T7" s="58">
        <v>0.26</v>
      </c>
      <c r="U7" s="58">
        <v>0.26</v>
      </c>
      <c r="V7" s="58">
        <v>0.23</v>
      </c>
      <c r="W7" s="58">
        <v>0.24</v>
      </c>
      <c r="X7" s="58">
        <v>0.23</v>
      </c>
      <c r="Y7" s="58">
        <v>0.21</v>
      </c>
      <c r="Z7" s="58">
        <v>0.23</v>
      </c>
      <c r="AA7" s="58">
        <v>0.26</v>
      </c>
      <c r="AB7" s="58">
        <v>0.24</v>
      </c>
      <c r="AC7" s="58">
        <v>0.24</v>
      </c>
      <c r="AD7" s="58">
        <v>0.25</v>
      </c>
      <c r="AE7" s="58">
        <v>0.23</v>
      </c>
      <c r="AF7" s="58">
        <v>0.25</v>
      </c>
      <c r="AG7" s="58">
        <v>0.26</v>
      </c>
      <c r="AH7" s="58">
        <v>0.27</v>
      </c>
      <c r="AI7" s="58">
        <v>0.24</v>
      </c>
      <c r="AJ7" s="58">
        <v>0.26</v>
      </c>
      <c r="AK7" s="58">
        <v>0.22</v>
      </c>
      <c r="AL7" s="57">
        <f t="shared" si="0"/>
        <v>0.24212121212121215</v>
      </c>
      <c r="AM7" s="34"/>
    </row>
    <row r="8" spans="1:39" ht="45" customHeight="1" x14ac:dyDescent="0.3">
      <c r="A8" s="59"/>
      <c r="B8" s="25" t="s">
        <v>565</v>
      </c>
      <c r="C8" s="14" t="s">
        <v>566</v>
      </c>
      <c r="D8" s="57">
        <v>0.31</v>
      </c>
      <c r="E8" s="58">
        <v>0.28999999999999998</v>
      </c>
      <c r="F8" s="58">
        <v>0.24</v>
      </c>
      <c r="G8" s="58">
        <v>0.26</v>
      </c>
      <c r="H8" s="58">
        <v>0.24</v>
      </c>
      <c r="I8" s="58">
        <v>0.27</v>
      </c>
      <c r="J8" s="58">
        <v>0.27</v>
      </c>
      <c r="K8" s="58">
        <v>0.28999999999999998</v>
      </c>
      <c r="L8" s="58">
        <v>0.24</v>
      </c>
      <c r="M8" s="58">
        <v>0.2</v>
      </c>
      <c r="N8" s="58">
        <v>0.24</v>
      </c>
      <c r="O8" s="58">
        <v>0.2</v>
      </c>
      <c r="P8" s="58">
        <v>0.27</v>
      </c>
      <c r="Q8" s="58">
        <v>0.3</v>
      </c>
      <c r="R8" s="58">
        <v>0.25</v>
      </c>
      <c r="S8" s="58">
        <v>0.28999999999999998</v>
      </c>
      <c r="T8" s="58">
        <v>0.28000000000000003</v>
      </c>
      <c r="U8" s="58">
        <v>0.28000000000000003</v>
      </c>
      <c r="V8" s="58">
        <v>0.26</v>
      </c>
      <c r="W8" s="58">
        <v>0.26</v>
      </c>
      <c r="X8" s="58">
        <v>0.26</v>
      </c>
      <c r="Y8" s="58">
        <v>0.28999999999999998</v>
      </c>
      <c r="Z8" s="58">
        <v>0.23</v>
      </c>
      <c r="AA8" s="58">
        <v>0.28000000000000003</v>
      </c>
      <c r="AB8" s="58">
        <v>0.27</v>
      </c>
      <c r="AC8" s="58">
        <v>0.26</v>
      </c>
      <c r="AD8" s="58">
        <v>0.24</v>
      </c>
      <c r="AE8" s="58">
        <v>0.28000000000000003</v>
      </c>
      <c r="AF8" s="58">
        <v>0.25</v>
      </c>
      <c r="AG8" s="58">
        <v>0.3</v>
      </c>
      <c r="AH8" s="58">
        <v>0.26</v>
      </c>
      <c r="AI8" s="58">
        <v>0.25</v>
      </c>
      <c r="AJ8" s="58">
        <v>0.28999999999999998</v>
      </c>
      <c r="AK8" s="58">
        <v>0.28000000000000003</v>
      </c>
      <c r="AL8" s="57">
        <f t="shared" si="0"/>
        <v>0.2627272727272727</v>
      </c>
      <c r="AM8" s="34"/>
    </row>
    <row r="9" spans="1:39" ht="45" customHeight="1" x14ac:dyDescent="0.3">
      <c r="A9" s="59"/>
      <c r="B9" s="25" t="s">
        <v>522</v>
      </c>
      <c r="C9" s="14" t="s">
        <v>567</v>
      </c>
      <c r="D9" s="57">
        <v>0.44</v>
      </c>
      <c r="E9" s="58">
        <v>0.37</v>
      </c>
      <c r="F9" s="58">
        <v>0.33</v>
      </c>
      <c r="G9" s="58">
        <v>0.36</v>
      </c>
      <c r="H9" s="58">
        <v>0.35</v>
      </c>
      <c r="I9" s="58">
        <v>0.37</v>
      </c>
      <c r="J9" s="58">
        <v>0.39</v>
      </c>
      <c r="K9" s="58">
        <v>0.36</v>
      </c>
      <c r="L9" s="58">
        <v>0.34</v>
      </c>
      <c r="M9" s="58">
        <v>0.34</v>
      </c>
      <c r="N9" s="58">
        <v>0.31</v>
      </c>
      <c r="O9" s="58">
        <v>0.31</v>
      </c>
      <c r="P9" s="58">
        <v>0.36</v>
      </c>
      <c r="Q9" s="58">
        <v>0.42</v>
      </c>
      <c r="R9" s="58">
        <v>0.34</v>
      </c>
      <c r="S9" s="58">
        <v>0.39</v>
      </c>
      <c r="T9" s="58">
        <v>0.37</v>
      </c>
      <c r="U9" s="58">
        <v>0.39</v>
      </c>
      <c r="V9" s="58">
        <v>0.34</v>
      </c>
      <c r="W9" s="58">
        <v>0.35</v>
      </c>
      <c r="X9" s="58">
        <v>0.36</v>
      </c>
      <c r="Y9" s="58">
        <v>0.35</v>
      </c>
      <c r="Z9" s="58">
        <v>0.32</v>
      </c>
      <c r="AA9" s="58">
        <v>0.39</v>
      </c>
      <c r="AB9" s="58">
        <v>0.33</v>
      </c>
      <c r="AC9" s="58">
        <v>0.34</v>
      </c>
      <c r="AD9" s="58">
        <v>0.33</v>
      </c>
      <c r="AE9" s="58">
        <v>0.39</v>
      </c>
      <c r="AF9" s="58">
        <v>0.34</v>
      </c>
      <c r="AG9" s="58">
        <v>0.41</v>
      </c>
      <c r="AH9" s="58">
        <v>0.34</v>
      </c>
      <c r="AI9" s="58">
        <v>0.36</v>
      </c>
      <c r="AJ9" s="58">
        <v>0.39</v>
      </c>
      <c r="AK9" s="58">
        <v>0.37</v>
      </c>
      <c r="AL9" s="57">
        <f t="shared" si="0"/>
        <v>0.35787878787878785</v>
      </c>
      <c r="AM9" s="34"/>
    </row>
    <row r="10" spans="1:39" ht="45" customHeight="1" x14ac:dyDescent="0.3">
      <c r="A10" s="59"/>
      <c r="B10" s="25" t="s">
        <v>568</v>
      </c>
      <c r="C10" s="14" t="s">
        <v>569</v>
      </c>
      <c r="D10" s="57">
        <v>0.38</v>
      </c>
      <c r="E10" s="58">
        <v>0.34</v>
      </c>
      <c r="F10" s="58">
        <v>0.28999999999999998</v>
      </c>
      <c r="G10" s="58">
        <v>0.31</v>
      </c>
      <c r="H10" s="58">
        <v>0.31</v>
      </c>
      <c r="I10" s="58">
        <v>0.31</v>
      </c>
      <c r="J10" s="58">
        <v>0.31</v>
      </c>
      <c r="K10" s="58">
        <v>0.3</v>
      </c>
      <c r="L10" s="58">
        <v>0.3</v>
      </c>
      <c r="M10" s="58">
        <v>0.3</v>
      </c>
      <c r="N10" s="58">
        <v>0.28000000000000003</v>
      </c>
      <c r="O10" s="58">
        <v>0.27</v>
      </c>
      <c r="P10" s="58">
        <v>0.33</v>
      </c>
      <c r="Q10" s="58">
        <v>0.37</v>
      </c>
      <c r="R10" s="58">
        <v>0.32</v>
      </c>
      <c r="S10" s="58">
        <v>0.33</v>
      </c>
      <c r="T10" s="58">
        <v>0.32</v>
      </c>
      <c r="U10" s="58">
        <v>0.32</v>
      </c>
      <c r="V10" s="58">
        <v>0.28999999999999998</v>
      </c>
      <c r="W10" s="58">
        <v>0.3</v>
      </c>
      <c r="X10" s="58">
        <v>0.33</v>
      </c>
      <c r="Y10" s="58">
        <v>0.32</v>
      </c>
      <c r="Z10" s="58">
        <v>0.28000000000000003</v>
      </c>
      <c r="AA10" s="58">
        <v>0.35</v>
      </c>
      <c r="AB10" s="58">
        <v>0.28000000000000003</v>
      </c>
      <c r="AC10" s="58">
        <v>0.3</v>
      </c>
      <c r="AD10" s="58">
        <v>0.31</v>
      </c>
      <c r="AE10" s="58">
        <v>0.35</v>
      </c>
      <c r="AF10" s="58">
        <v>0.33</v>
      </c>
      <c r="AG10" s="58">
        <v>0.36</v>
      </c>
      <c r="AH10" s="58">
        <v>0.31</v>
      </c>
      <c r="AI10" s="58">
        <v>0.3</v>
      </c>
      <c r="AJ10" s="58">
        <v>0.36</v>
      </c>
      <c r="AK10" s="58">
        <v>0.32</v>
      </c>
      <c r="AL10" s="57">
        <f t="shared" si="0"/>
        <v>0.31515151515151518</v>
      </c>
      <c r="AM10" s="34"/>
    </row>
    <row r="11" spans="1:39" ht="45" customHeight="1" x14ac:dyDescent="0.3">
      <c r="A11" s="59"/>
      <c r="B11" s="25" t="s">
        <v>570</v>
      </c>
      <c r="C11" s="14" t="s">
        <v>571</v>
      </c>
      <c r="D11" s="57">
        <v>0.37</v>
      </c>
      <c r="E11" s="58">
        <v>0.3</v>
      </c>
      <c r="F11" s="58">
        <v>0.31</v>
      </c>
      <c r="G11" s="58">
        <v>0.31</v>
      </c>
      <c r="H11" s="58">
        <v>0.33</v>
      </c>
      <c r="I11" s="58">
        <v>0.28999999999999998</v>
      </c>
      <c r="J11" s="58">
        <v>0.33</v>
      </c>
      <c r="K11" s="58">
        <v>0.34</v>
      </c>
      <c r="L11" s="58">
        <v>0.3</v>
      </c>
      <c r="M11" s="58">
        <v>0.31</v>
      </c>
      <c r="N11" s="58">
        <v>0.28999999999999998</v>
      </c>
      <c r="O11" s="58">
        <v>0.28000000000000003</v>
      </c>
      <c r="P11" s="58">
        <v>0.34</v>
      </c>
      <c r="Q11" s="58">
        <v>0.36</v>
      </c>
      <c r="R11" s="58">
        <v>0.31</v>
      </c>
      <c r="S11" s="58">
        <v>0.33</v>
      </c>
      <c r="T11" s="58">
        <v>0.31</v>
      </c>
      <c r="U11" s="58">
        <v>0.28999999999999998</v>
      </c>
      <c r="V11" s="58">
        <v>0.28999999999999998</v>
      </c>
      <c r="W11" s="58">
        <v>0.32</v>
      </c>
      <c r="X11" s="58">
        <v>0.32</v>
      </c>
      <c r="Y11" s="58">
        <v>0.28000000000000003</v>
      </c>
      <c r="Z11" s="58">
        <v>0.28000000000000003</v>
      </c>
      <c r="AA11" s="58">
        <v>0.35</v>
      </c>
      <c r="AB11" s="58">
        <v>0.28999999999999998</v>
      </c>
      <c r="AC11" s="58">
        <v>0.33</v>
      </c>
      <c r="AD11" s="58">
        <v>0.33</v>
      </c>
      <c r="AE11" s="58">
        <v>0.28999999999999998</v>
      </c>
      <c r="AF11" s="58">
        <v>0.33</v>
      </c>
      <c r="AG11" s="58">
        <v>0.31</v>
      </c>
      <c r="AH11" s="58">
        <v>0.31</v>
      </c>
      <c r="AI11" s="58">
        <v>0.33</v>
      </c>
      <c r="AJ11" s="58">
        <v>0.34</v>
      </c>
      <c r="AK11" s="58">
        <v>0.32</v>
      </c>
      <c r="AL11" s="57">
        <f t="shared" si="0"/>
        <v>0.3136363636363636</v>
      </c>
      <c r="AM11" s="34"/>
    </row>
    <row r="12" spans="1:39" ht="45" customHeight="1" x14ac:dyDescent="0.3">
      <c r="A12" s="59"/>
      <c r="B12" s="25" t="s">
        <v>551</v>
      </c>
      <c r="C12" s="14" t="s">
        <v>572</v>
      </c>
      <c r="D12" s="57">
        <v>0.37</v>
      </c>
      <c r="E12" s="58">
        <v>0.32</v>
      </c>
      <c r="F12" s="58">
        <v>0.24</v>
      </c>
      <c r="G12" s="58">
        <v>0.28999999999999998</v>
      </c>
      <c r="H12" s="58">
        <v>0.27</v>
      </c>
      <c r="I12" s="58">
        <v>0.28000000000000003</v>
      </c>
      <c r="J12" s="58">
        <v>0.33</v>
      </c>
      <c r="K12" s="58">
        <v>0.28000000000000003</v>
      </c>
      <c r="L12" s="58">
        <v>0.26</v>
      </c>
      <c r="M12" s="58">
        <v>0.27</v>
      </c>
      <c r="N12" s="58">
        <v>0.25</v>
      </c>
      <c r="O12" s="58">
        <v>0.22</v>
      </c>
      <c r="P12" s="58">
        <v>0.31</v>
      </c>
      <c r="Q12" s="58">
        <v>0.32</v>
      </c>
      <c r="R12" s="58">
        <v>0.27</v>
      </c>
      <c r="S12" s="58">
        <v>0.32</v>
      </c>
      <c r="T12" s="58">
        <v>0.31</v>
      </c>
      <c r="U12" s="58">
        <v>0.32</v>
      </c>
      <c r="V12" s="58">
        <v>0.27</v>
      </c>
      <c r="W12" s="58">
        <v>0.26</v>
      </c>
      <c r="X12" s="58">
        <v>0.28999999999999998</v>
      </c>
      <c r="Y12" s="58">
        <v>0.26</v>
      </c>
      <c r="Z12" s="58">
        <v>0.28000000000000003</v>
      </c>
      <c r="AA12" s="58">
        <v>0.31</v>
      </c>
      <c r="AB12" s="58">
        <v>0.27</v>
      </c>
      <c r="AC12" s="58">
        <v>0.3</v>
      </c>
      <c r="AD12" s="58">
        <v>0.31</v>
      </c>
      <c r="AE12" s="58">
        <v>0.31</v>
      </c>
      <c r="AF12" s="58">
        <v>0.28999999999999998</v>
      </c>
      <c r="AG12" s="58">
        <v>0.31</v>
      </c>
      <c r="AH12" s="58">
        <v>0.27</v>
      </c>
      <c r="AI12" s="58">
        <v>0.28999999999999998</v>
      </c>
      <c r="AJ12" s="58">
        <v>0.34</v>
      </c>
      <c r="AK12" s="58">
        <v>0.28000000000000003</v>
      </c>
      <c r="AL12" s="57">
        <f t="shared" si="0"/>
        <v>0.28787878787878785</v>
      </c>
      <c r="AM12" s="34"/>
    </row>
    <row r="13" spans="1:39" ht="45" customHeight="1" x14ac:dyDescent="0.3">
      <c r="A13" s="59"/>
      <c r="B13" s="25" t="s">
        <v>537</v>
      </c>
      <c r="C13" s="14" t="s">
        <v>573</v>
      </c>
      <c r="D13" s="57">
        <v>0.4</v>
      </c>
      <c r="E13" s="58">
        <v>0.34</v>
      </c>
      <c r="F13" s="58">
        <v>0.34</v>
      </c>
      <c r="G13" s="58">
        <v>0.36</v>
      </c>
      <c r="H13" s="58">
        <v>0.34</v>
      </c>
      <c r="I13" s="58">
        <v>0.33</v>
      </c>
      <c r="J13" s="58">
        <v>0.38</v>
      </c>
      <c r="K13" s="58">
        <v>0.36</v>
      </c>
      <c r="L13" s="58">
        <v>0.31</v>
      </c>
      <c r="M13" s="58">
        <v>0.33</v>
      </c>
      <c r="N13" s="58">
        <v>0.28999999999999998</v>
      </c>
      <c r="O13" s="58">
        <v>0.28999999999999998</v>
      </c>
      <c r="P13" s="58">
        <v>0.37</v>
      </c>
      <c r="Q13" s="58">
        <v>0.42</v>
      </c>
      <c r="R13" s="58">
        <v>0.32</v>
      </c>
      <c r="S13" s="58">
        <v>0.36</v>
      </c>
      <c r="T13" s="58">
        <v>0.35</v>
      </c>
      <c r="U13" s="58">
        <v>0.35</v>
      </c>
      <c r="V13" s="58">
        <v>0.31</v>
      </c>
      <c r="W13" s="58">
        <v>0.32</v>
      </c>
      <c r="X13" s="58">
        <v>0.35</v>
      </c>
      <c r="Y13" s="58">
        <v>0.33</v>
      </c>
      <c r="Z13" s="58">
        <v>0.32</v>
      </c>
      <c r="AA13" s="58">
        <v>0.39</v>
      </c>
      <c r="AB13" s="58">
        <v>0.3</v>
      </c>
      <c r="AC13" s="58">
        <v>0.33</v>
      </c>
      <c r="AD13" s="58">
        <v>0.34</v>
      </c>
      <c r="AE13" s="58">
        <v>0.37</v>
      </c>
      <c r="AF13" s="58">
        <v>0.36</v>
      </c>
      <c r="AG13" s="58">
        <v>0.39</v>
      </c>
      <c r="AH13" s="58">
        <v>0.33</v>
      </c>
      <c r="AI13" s="58">
        <v>0.34</v>
      </c>
      <c r="AJ13" s="58">
        <v>0.39</v>
      </c>
      <c r="AK13" s="58">
        <v>0.35</v>
      </c>
      <c r="AL13" s="57">
        <f t="shared" si="0"/>
        <v>0.34424242424242424</v>
      </c>
      <c r="AM13" s="34"/>
    </row>
    <row r="14" spans="1:39" ht="64.05" customHeight="1" x14ac:dyDescent="0.3">
      <c r="A14" s="59"/>
      <c r="B14" s="25" t="s">
        <v>539</v>
      </c>
      <c r="C14" s="14" t="s">
        <v>574</v>
      </c>
      <c r="D14" s="57">
        <v>0.39</v>
      </c>
      <c r="E14" s="58">
        <v>0.32</v>
      </c>
      <c r="F14" s="58">
        <v>0.32</v>
      </c>
      <c r="G14" s="58">
        <v>0.32</v>
      </c>
      <c r="H14" s="58">
        <v>0.28999999999999998</v>
      </c>
      <c r="I14" s="58">
        <v>0.31</v>
      </c>
      <c r="J14" s="58">
        <v>0.32</v>
      </c>
      <c r="K14" s="58">
        <v>0.34</v>
      </c>
      <c r="L14" s="58">
        <v>0.28999999999999998</v>
      </c>
      <c r="M14" s="58">
        <v>0.28000000000000003</v>
      </c>
      <c r="N14" s="58">
        <v>0.28999999999999998</v>
      </c>
      <c r="O14" s="58">
        <v>0.27</v>
      </c>
      <c r="P14" s="58">
        <v>0.33</v>
      </c>
      <c r="Q14" s="58">
        <v>0.4</v>
      </c>
      <c r="R14" s="58">
        <v>0.3</v>
      </c>
      <c r="S14" s="58">
        <v>0.36</v>
      </c>
      <c r="T14" s="58">
        <v>0.33</v>
      </c>
      <c r="U14" s="58">
        <v>0.34</v>
      </c>
      <c r="V14" s="58">
        <v>0.28000000000000003</v>
      </c>
      <c r="W14" s="58">
        <v>0.28999999999999998</v>
      </c>
      <c r="X14" s="58">
        <v>0.31</v>
      </c>
      <c r="Y14" s="58">
        <v>0.31</v>
      </c>
      <c r="Z14" s="58">
        <v>0.28000000000000003</v>
      </c>
      <c r="AA14" s="58">
        <v>0.36</v>
      </c>
      <c r="AB14" s="58">
        <v>0.28000000000000003</v>
      </c>
      <c r="AC14" s="58">
        <v>0.31</v>
      </c>
      <c r="AD14" s="58">
        <v>0.3</v>
      </c>
      <c r="AE14" s="58">
        <v>0.36</v>
      </c>
      <c r="AF14" s="58">
        <v>0.33</v>
      </c>
      <c r="AG14" s="58">
        <v>0.38</v>
      </c>
      <c r="AH14" s="58">
        <v>0.32</v>
      </c>
      <c r="AI14" s="58">
        <v>0.33</v>
      </c>
      <c r="AJ14" s="58">
        <v>0.37</v>
      </c>
      <c r="AK14" s="58">
        <v>0.33</v>
      </c>
      <c r="AL14" s="57">
        <f t="shared" si="0"/>
        <v>0.3196969696969697</v>
      </c>
      <c r="AM14" s="34"/>
    </row>
    <row r="15" spans="1:39" ht="45" customHeight="1" x14ac:dyDescent="0.3">
      <c r="A15" s="59"/>
      <c r="B15" s="25" t="s">
        <v>575</v>
      </c>
      <c r="C15" s="14" t="s">
        <v>576</v>
      </c>
      <c r="D15" s="57">
        <v>0.41</v>
      </c>
      <c r="E15" s="58">
        <v>0.37</v>
      </c>
      <c r="F15" s="58">
        <v>0.35</v>
      </c>
      <c r="G15" s="58">
        <v>0.37</v>
      </c>
      <c r="H15" s="58">
        <v>0.33</v>
      </c>
      <c r="I15" s="58">
        <v>0.37</v>
      </c>
      <c r="J15" s="58">
        <v>0.39</v>
      </c>
      <c r="K15" s="58">
        <v>0.4</v>
      </c>
      <c r="L15" s="58">
        <v>0.36</v>
      </c>
      <c r="M15" s="58">
        <v>0.33</v>
      </c>
      <c r="N15" s="58">
        <v>0.31</v>
      </c>
      <c r="O15" s="58">
        <v>0.32</v>
      </c>
      <c r="P15" s="58">
        <v>0.4</v>
      </c>
      <c r="Q15" s="58">
        <v>0.41</v>
      </c>
      <c r="R15" s="58">
        <v>0.38</v>
      </c>
      <c r="S15" s="58">
        <v>0.41</v>
      </c>
      <c r="T15" s="58">
        <v>0.39</v>
      </c>
      <c r="U15" s="58">
        <v>0.39</v>
      </c>
      <c r="V15" s="58">
        <v>0.3</v>
      </c>
      <c r="W15" s="58">
        <v>0.35</v>
      </c>
      <c r="X15" s="58">
        <v>0.34</v>
      </c>
      <c r="Y15" s="58">
        <v>0.35</v>
      </c>
      <c r="Z15" s="58">
        <v>0.35</v>
      </c>
      <c r="AA15" s="58">
        <v>0.38</v>
      </c>
      <c r="AB15" s="58">
        <v>0.34</v>
      </c>
      <c r="AC15" s="58">
        <v>0.37</v>
      </c>
      <c r="AD15" s="58">
        <v>0.38</v>
      </c>
      <c r="AE15" s="58">
        <v>0.4</v>
      </c>
      <c r="AF15" s="58">
        <v>0.35</v>
      </c>
      <c r="AG15" s="58">
        <v>0.4</v>
      </c>
      <c r="AH15" s="58">
        <v>0.36</v>
      </c>
      <c r="AI15" s="58">
        <v>0.37</v>
      </c>
      <c r="AJ15" s="58">
        <v>0.41</v>
      </c>
      <c r="AK15" s="58">
        <v>0.37</v>
      </c>
      <c r="AL15" s="57">
        <f t="shared" si="0"/>
        <v>0.36666666666666653</v>
      </c>
      <c r="AM15" s="34"/>
    </row>
    <row r="16" spans="1:39" ht="102" customHeight="1" x14ac:dyDescent="0.3">
      <c r="A16" s="59"/>
      <c r="B16" s="25" t="s">
        <v>577</v>
      </c>
      <c r="C16" s="14" t="s">
        <v>578</v>
      </c>
      <c r="D16" s="57">
        <v>0.28999999999999998</v>
      </c>
      <c r="E16" s="58">
        <v>0.28000000000000003</v>
      </c>
      <c r="F16" s="58">
        <v>0.23</v>
      </c>
      <c r="G16" s="58">
        <v>0.25</v>
      </c>
      <c r="H16" s="58">
        <v>0.26</v>
      </c>
      <c r="I16" s="58">
        <v>0.26</v>
      </c>
      <c r="J16" s="58">
        <v>0.25</v>
      </c>
      <c r="K16" s="58">
        <v>0.25</v>
      </c>
      <c r="L16" s="58">
        <v>0.24</v>
      </c>
      <c r="M16" s="58">
        <v>0.27</v>
      </c>
      <c r="N16" s="58">
        <v>0.28000000000000003</v>
      </c>
      <c r="O16" s="58">
        <v>0.22</v>
      </c>
      <c r="P16" s="58">
        <v>0.27</v>
      </c>
      <c r="Q16" s="58">
        <v>0.27</v>
      </c>
      <c r="R16" s="58">
        <v>0.25</v>
      </c>
      <c r="S16" s="58">
        <v>0.24</v>
      </c>
      <c r="T16" s="58">
        <v>0.24</v>
      </c>
      <c r="U16" s="58">
        <v>0.27</v>
      </c>
      <c r="V16" s="58">
        <v>0.25</v>
      </c>
      <c r="W16" s="58">
        <v>0.26</v>
      </c>
      <c r="X16" s="58">
        <v>0.28000000000000003</v>
      </c>
      <c r="Y16" s="58">
        <v>0.23</v>
      </c>
      <c r="Z16" s="58">
        <v>0.26</v>
      </c>
      <c r="AA16" s="58">
        <v>0.26</v>
      </c>
      <c r="AB16" s="58">
        <v>0.26</v>
      </c>
      <c r="AC16" s="58">
        <v>0.26</v>
      </c>
      <c r="AD16" s="58">
        <v>0.22</v>
      </c>
      <c r="AE16" s="58">
        <v>0.24</v>
      </c>
      <c r="AF16" s="58">
        <v>0.27</v>
      </c>
      <c r="AG16" s="58">
        <v>0.28999999999999998</v>
      </c>
      <c r="AH16" s="58">
        <v>0.24</v>
      </c>
      <c r="AI16" s="58">
        <v>0.26</v>
      </c>
      <c r="AJ16" s="58">
        <v>0.28999999999999998</v>
      </c>
      <c r="AK16" s="58">
        <v>0.24</v>
      </c>
      <c r="AL16" s="57">
        <f t="shared" si="0"/>
        <v>0.25575757575757574</v>
      </c>
      <c r="AM16" s="34"/>
    </row>
    <row r="17" spans="1:39" ht="79.95" customHeight="1" x14ac:dyDescent="0.3">
      <c r="A17" s="56" t="s">
        <v>579</v>
      </c>
      <c r="B17" s="25" t="s">
        <v>524</v>
      </c>
      <c r="C17" s="14" t="s">
        <v>580</v>
      </c>
      <c r="D17" s="57">
        <v>0.36</v>
      </c>
      <c r="E17" s="58">
        <v>0.28000000000000003</v>
      </c>
      <c r="F17" s="58">
        <v>0.25</v>
      </c>
      <c r="G17" s="58">
        <v>0.3</v>
      </c>
      <c r="H17" s="58">
        <v>0.3</v>
      </c>
      <c r="I17" s="58">
        <v>0.3</v>
      </c>
      <c r="J17" s="58">
        <v>0.34</v>
      </c>
      <c r="K17" s="58">
        <v>0.28999999999999998</v>
      </c>
      <c r="L17" s="58">
        <v>0.27</v>
      </c>
      <c r="M17" s="58">
        <v>0.28999999999999998</v>
      </c>
      <c r="N17" s="58">
        <v>0.31</v>
      </c>
      <c r="O17" s="58">
        <v>0.26</v>
      </c>
      <c r="P17" s="58">
        <v>0.27</v>
      </c>
      <c r="Q17" s="58">
        <v>0.35</v>
      </c>
      <c r="R17" s="58">
        <v>0.27</v>
      </c>
      <c r="S17" s="58">
        <v>0.27</v>
      </c>
      <c r="T17" s="58">
        <v>0.3</v>
      </c>
      <c r="U17" s="58">
        <v>0.28000000000000003</v>
      </c>
      <c r="V17" s="58">
        <v>0.25</v>
      </c>
      <c r="W17" s="58">
        <v>0.3</v>
      </c>
      <c r="X17" s="58">
        <v>0.28000000000000003</v>
      </c>
      <c r="Y17" s="58">
        <v>0.28999999999999998</v>
      </c>
      <c r="Z17" s="58">
        <v>0.32</v>
      </c>
      <c r="AA17" s="58">
        <v>0.33</v>
      </c>
      <c r="AB17" s="58">
        <v>0.3</v>
      </c>
      <c r="AC17" s="58">
        <v>0.28000000000000003</v>
      </c>
      <c r="AD17" s="58">
        <v>0.25</v>
      </c>
      <c r="AE17" s="58">
        <v>0.31</v>
      </c>
      <c r="AF17" s="58">
        <v>0.3</v>
      </c>
      <c r="AG17" s="58">
        <v>0.35</v>
      </c>
      <c r="AH17" s="58">
        <v>0.25</v>
      </c>
      <c r="AI17" s="58">
        <v>0.32</v>
      </c>
      <c r="AJ17" s="58">
        <v>0.28000000000000003</v>
      </c>
      <c r="AK17" s="58">
        <v>0.3</v>
      </c>
      <c r="AL17" s="57">
        <f t="shared" si="0"/>
        <v>0.29212121212121211</v>
      </c>
      <c r="AM17" s="34"/>
    </row>
    <row r="18" spans="1:39" ht="45" customHeight="1" x14ac:dyDescent="0.3">
      <c r="A18" s="59"/>
      <c r="B18" s="25" t="s">
        <v>526</v>
      </c>
      <c r="C18" s="14" t="s">
        <v>581</v>
      </c>
      <c r="D18" s="57">
        <v>0.38</v>
      </c>
      <c r="E18" s="58">
        <v>0.38</v>
      </c>
      <c r="F18" s="58">
        <v>0.35</v>
      </c>
      <c r="G18" s="58">
        <v>0.34</v>
      </c>
      <c r="H18" s="58">
        <v>0.33</v>
      </c>
      <c r="I18" s="58">
        <v>0.31</v>
      </c>
      <c r="J18" s="58">
        <v>0.32</v>
      </c>
      <c r="K18" s="58">
        <v>0.35</v>
      </c>
      <c r="L18" s="58">
        <v>0.32</v>
      </c>
      <c r="M18" s="58">
        <v>0.32</v>
      </c>
      <c r="N18" s="58">
        <v>0.27</v>
      </c>
      <c r="O18" s="58">
        <v>0.31</v>
      </c>
      <c r="P18" s="58">
        <v>0.28999999999999998</v>
      </c>
      <c r="Q18" s="58">
        <v>0.38</v>
      </c>
      <c r="R18" s="58">
        <v>0.38</v>
      </c>
      <c r="S18" s="58">
        <v>0.38</v>
      </c>
      <c r="T18" s="58">
        <v>0.37</v>
      </c>
      <c r="U18" s="58">
        <v>0.38</v>
      </c>
      <c r="V18" s="58">
        <v>0.32</v>
      </c>
      <c r="W18" s="58">
        <v>0.36</v>
      </c>
      <c r="X18" s="58">
        <v>0.3</v>
      </c>
      <c r="Y18" s="58">
        <v>0.33</v>
      </c>
      <c r="Z18" s="58">
        <v>0.28999999999999998</v>
      </c>
      <c r="AA18" s="58">
        <v>0.34</v>
      </c>
      <c r="AB18" s="58">
        <v>0.33</v>
      </c>
      <c r="AC18" s="58">
        <v>0.31</v>
      </c>
      <c r="AD18" s="58">
        <v>0.38</v>
      </c>
      <c r="AE18" s="58">
        <v>0.36</v>
      </c>
      <c r="AF18" s="58">
        <v>0.35</v>
      </c>
      <c r="AG18" s="58">
        <v>0.38</v>
      </c>
      <c r="AH18" s="58">
        <v>0.34</v>
      </c>
      <c r="AI18" s="58">
        <v>0.34</v>
      </c>
      <c r="AJ18" s="58">
        <v>0.4</v>
      </c>
      <c r="AK18" s="58">
        <v>0.38</v>
      </c>
      <c r="AL18" s="57">
        <f t="shared" si="0"/>
        <v>0.34212121212121221</v>
      </c>
      <c r="AM18" s="34"/>
    </row>
    <row r="19" spans="1:39" ht="45" customHeight="1" x14ac:dyDescent="0.3">
      <c r="A19" s="59"/>
      <c r="B19" s="25" t="s">
        <v>530</v>
      </c>
      <c r="C19" s="14" t="s">
        <v>582</v>
      </c>
      <c r="D19" s="57">
        <v>0.37</v>
      </c>
      <c r="E19" s="58">
        <v>0.33</v>
      </c>
      <c r="F19" s="58">
        <v>0.32</v>
      </c>
      <c r="G19" s="58">
        <v>0.31</v>
      </c>
      <c r="H19" s="58">
        <v>0.33</v>
      </c>
      <c r="I19" s="58">
        <v>0.35</v>
      </c>
      <c r="J19" s="58">
        <v>0.32</v>
      </c>
      <c r="K19" s="58">
        <v>0.35</v>
      </c>
      <c r="L19" s="58">
        <v>0.32</v>
      </c>
      <c r="M19" s="58">
        <v>0.35</v>
      </c>
      <c r="N19" s="58">
        <v>0.27</v>
      </c>
      <c r="O19" s="58">
        <v>0.4</v>
      </c>
      <c r="P19" s="58">
        <v>0.24</v>
      </c>
      <c r="Q19" s="58">
        <v>0.36</v>
      </c>
      <c r="R19" s="58">
        <v>0.31</v>
      </c>
      <c r="S19" s="58">
        <v>0.37</v>
      </c>
      <c r="T19" s="58">
        <v>0.37</v>
      </c>
      <c r="U19" s="58">
        <v>0.34</v>
      </c>
      <c r="V19" s="58">
        <v>0.31</v>
      </c>
      <c r="W19" s="58">
        <v>0.33</v>
      </c>
      <c r="X19" s="58">
        <v>0.37</v>
      </c>
      <c r="Y19" s="58">
        <v>0.31</v>
      </c>
      <c r="Z19" s="58">
        <v>0.28000000000000003</v>
      </c>
      <c r="AA19" s="58">
        <v>0.32</v>
      </c>
      <c r="AB19" s="58">
        <v>0.32</v>
      </c>
      <c r="AC19" s="58">
        <v>0.34</v>
      </c>
      <c r="AD19" s="58">
        <v>0.3</v>
      </c>
      <c r="AE19" s="58">
        <v>0.37</v>
      </c>
      <c r="AF19" s="58">
        <v>0.28999999999999998</v>
      </c>
      <c r="AG19" s="58">
        <v>0.38</v>
      </c>
      <c r="AH19" s="58">
        <v>0.32</v>
      </c>
      <c r="AI19" s="58">
        <v>0.38</v>
      </c>
      <c r="AJ19" s="58">
        <v>0.37</v>
      </c>
      <c r="AK19" s="58">
        <v>0.33</v>
      </c>
      <c r="AL19" s="57">
        <f t="shared" si="0"/>
        <v>0.33212121212121215</v>
      </c>
      <c r="AM19" s="34"/>
    </row>
    <row r="20" spans="1:39" ht="45" customHeight="1" x14ac:dyDescent="0.3">
      <c r="A20" s="59"/>
      <c r="B20" s="25" t="s">
        <v>520</v>
      </c>
      <c r="C20" s="14" t="s">
        <v>583</v>
      </c>
      <c r="D20" s="57">
        <v>0.41</v>
      </c>
      <c r="E20" s="58">
        <v>0.39</v>
      </c>
      <c r="F20" s="58">
        <v>0.38</v>
      </c>
      <c r="G20" s="58">
        <v>0.34</v>
      </c>
      <c r="H20" s="58">
        <v>0.35</v>
      </c>
      <c r="I20" s="58">
        <v>0.36</v>
      </c>
      <c r="J20" s="58">
        <v>0.4</v>
      </c>
      <c r="K20" s="58">
        <v>0.38</v>
      </c>
      <c r="L20" s="58">
        <v>0.33</v>
      </c>
      <c r="M20" s="58">
        <v>0.33</v>
      </c>
      <c r="N20" s="58">
        <v>0.32</v>
      </c>
      <c r="O20" s="58">
        <v>0.38</v>
      </c>
      <c r="P20" s="58">
        <v>0.34</v>
      </c>
      <c r="Q20" s="58">
        <v>0.45</v>
      </c>
      <c r="R20" s="58">
        <v>0.36</v>
      </c>
      <c r="S20" s="58">
        <v>0.38</v>
      </c>
      <c r="T20" s="58">
        <v>0.37</v>
      </c>
      <c r="U20" s="58">
        <v>0.42</v>
      </c>
      <c r="V20" s="58">
        <v>0.35</v>
      </c>
      <c r="W20" s="58">
        <v>0.36</v>
      </c>
      <c r="X20" s="58">
        <v>0.35</v>
      </c>
      <c r="Y20" s="58">
        <v>0.4</v>
      </c>
      <c r="Z20" s="58">
        <v>0.34</v>
      </c>
      <c r="AA20" s="58">
        <v>0.4</v>
      </c>
      <c r="AB20" s="58">
        <v>0.33</v>
      </c>
      <c r="AC20" s="58">
        <v>0.38</v>
      </c>
      <c r="AD20" s="58">
        <v>0.37</v>
      </c>
      <c r="AE20" s="58">
        <v>0.36</v>
      </c>
      <c r="AF20" s="58">
        <v>0.35</v>
      </c>
      <c r="AG20" s="58">
        <v>0.39</v>
      </c>
      <c r="AH20" s="58">
        <v>0.36</v>
      </c>
      <c r="AI20" s="58">
        <v>0.36</v>
      </c>
      <c r="AJ20" s="58">
        <v>0.43</v>
      </c>
      <c r="AK20" s="58">
        <v>0.39</v>
      </c>
      <c r="AL20" s="57">
        <f t="shared" si="0"/>
        <v>0.36969696969696969</v>
      </c>
      <c r="AM20" s="34"/>
    </row>
    <row r="21" spans="1:39" ht="45" customHeight="1" x14ac:dyDescent="0.3">
      <c r="A21" s="59"/>
      <c r="B21" s="25" t="s">
        <v>522</v>
      </c>
      <c r="C21" s="14" t="s">
        <v>584</v>
      </c>
      <c r="D21" s="57">
        <v>0.33</v>
      </c>
      <c r="E21" s="58">
        <v>0.31</v>
      </c>
      <c r="F21" s="58">
        <v>0.3</v>
      </c>
      <c r="G21" s="58">
        <v>0.28999999999999998</v>
      </c>
      <c r="H21" s="58">
        <v>0.3</v>
      </c>
      <c r="I21" s="58">
        <v>0.31</v>
      </c>
      <c r="J21" s="58">
        <v>0.31</v>
      </c>
      <c r="K21" s="58">
        <v>0.31</v>
      </c>
      <c r="L21" s="58">
        <v>0.31</v>
      </c>
      <c r="M21" s="58">
        <v>0.24</v>
      </c>
      <c r="N21" s="58">
        <v>0.25</v>
      </c>
      <c r="O21" s="58">
        <v>0.33</v>
      </c>
      <c r="P21" s="58">
        <v>0.26</v>
      </c>
      <c r="Q21" s="58">
        <v>0.39</v>
      </c>
      <c r="R21" s="58">
        <v>0.28999999999999998</v>
      </c>
      <c r="S21" s="58">
        <v>0.32</v>
      </c>
      <c r="T21" s="58">
        <v>0.35</v>
      </c>
      <c r="U21" s="58">
        <v>0.31</v>
      </c>
      <c r="V21" s="58">
        <v>0.28999999999999998</v>
      </c>
      <c r="W21" s="58">
        <v>0.32</v>
      </c>
      <c r="X21" s="58">
        <v>0.31</v>
      </c>
      <c r="Y21" s="58">
        <v>0.34</v>
      </c>
      <c r="Z21" s="58">
        <v>0.32</v>
      </c>
      <c r="AA21" s="58">
        <v>0.31</v>
      </c>
      <c r="AB21" s="58">
        <v>0.31</v>
      </c>
      <c r="AC21" s="58">
        <v>0.32</v>
      </c>
      <c r="AD21" s="58">
        <v>0.33</v>
      </c>
      <c r="AE21" s="58">
        <v>0.35</v>
      </c>
      <c r="AF21" s="58">
        <v>0.28999999999999998</v>
      </c>
      <c r="AG21" s="58">
        <v>0.36</v>
      </c>
      <c r="AH21" s="58">
        <v>0.3</v>
      </c>
      <c r="AI21" s="58">
        <v>0.3</v>
      </c>
      <c r="AJ21" s="58">
        <v>0.36</v>
      </c>
      <c r="AK21" s="58">
        <v>0.32</v>
      </c>
      <c r="AL21" s="57">
        <f t="shared" si="0"/>
        <v>0.31242424242424233</v>
      </c>
      <c r="AM21" s="34"/>
    </row>
    <row r="22" spans="1:39" ht="45" customHeight="1" x14ac:dyDescent="0.3">
      <c r="A22" s="59"/>
      <c r="B22" s="25" t="s">
        <v>568</v>
      </c>
      <c r="C22" s="14" t="s">
        <v>585</v>
      </c>
      <c r="D22" s="57">
        <v>0.41</v>
      </c>
      <c r="E22" s="58">
        <v>0.4</v>
      </c>
      <c r="F22" s="58">
        <v>0.38</v>
      </c>
      <c r="G22" s="58">
        <v>0.37</v>
      </c>
      <c r="H22" s="58">
        <v>0.37</v>
      </c>
      <c r="I22" s="58">
        <v>0.36</v>
      </c>
      <c r="J22" s="58">
        <v>0.39</v>
      </c>
      <c r="K22" s="58">
        <v>0.35</v>
      </c>
      <c r="L22" s="58">
        <v>0.35</v>
      </c>
      <c r="M22" s="58">
        <v>0.33</v>
      </c>
      <c r="N22" s="58">
        <v>0.33</v>
      </c>
      <c r="O22" s="58">
        <v>0.39</v>
      </c>
      <c r="P22" s="58">
        <v>0.32</v>
      </c>
      <c r="Q22" s="58">
        <v>0.44</v>
      </c>
      <c r="R22" s="58">
        <v>0.34</v>
      </c>
      <c r="S22" s="58">
        <v>0.36</v>
      </c>
      <c r="T22" s="58">
        <v>0.38</v>
      </c>
      <c r="U22" s="58">
        <v>0.37</v>
      </c>
      <c r="V22" s="58">
        <v>0.34</v>
      </c>
      <c r="W22" s="58">
        <v>0.34</v>
      </c>
      <c r="X22" s="58">
        <v>0.33</v>
      </c>
      <c r="Y22" s="58">
        <v>0.36</v>
      </c>
      <c r="Z22" s="58">
        <v>0.34</v>
      </c>
      <c r="AA22" s="58">
        <v>0.4</v>
      </c>
      <c r="AB22" s="58">
        <v>0.35</v>
      </c>
      <c r="AC22" s="58">
        <v>0.35</v>
      </c>
      <c r="AD22" s="58">
        <v>0.33</v>
      </c>
      <c r="AE22" s="58">
        <v>0.4</v>
      </c>
      <c r="AF22" s="58">
        <v>0.36</v>
      </c>
      <c r="AG22" s="58">
        <v>0.38</v>
      </c>
      <c r="AH22" s="58">
        <v>0.34</v>
      </c>
      <c r="AI22" s="58">
        <v>0.41</v>
      </c>
      <c r="AJ22" s="58">
        <v>0.41</v>
      </c>
      <c r="AK22" s="58">
        <v>0.37</v>
      </c>
      <c r="AL22" s="57">
        <f t="shared" si="0"/>
        <v>0.36484848484848487</v>
      </c>
      <c r="AM22" s="34"/>
    </row>
    <row r="23" spans="1:39" ht="45" customHeight="1" x14ac:dyDescent="0.3">
      <c r="A23" s="59"/>
      <c r="B23" s="25" t="s">
        <v>533</v>
      </c>
      <c r="C23" s="14" t="s">
        <v>586</v>
      </c>
      <c r="D23" s="57">
        <v>0.45</v>
      </c>
      <c r="E23" s="58">
        <v>0.44</v>
      </c>
      <c r="F23" s="58">
        <v>0.45</v>
      </c>
      <c r="G23" s="58">
        <v>0.43</v>
      </c>
      <c r="H23" s="58">
        <v>0.41</v>
      </c>
      <c r="I23" s="58">
        <v>0.39</v>
      </c>
      <c r="J23" s="58">
        <v>0.49</v>
      </c>
      <c r="K23" s="58">
        <v>0.46</v>
      </c>
      <c r="L23" s="58">
        <v>0.44</v>
      </c>
      <c r="M23" s="58">
        <v>0.39</v>
      </c>
      <c r="N23" s="58">
        <v>0.38</v>
      </c>
      <c r="O23" s="58">
        <v>0.44</v>
      </c>
      <c r="P23" s="58">
        <v>0.25</v>
      </c>
      <c r="Q23" s="58">
        <v>0.48</v>
      </c>
      <c r="R23" s="58">
        <v>0.41</v>
      </c>
      <c r="S23" s="58">
        <v>0.48</v>
      </c>
      <c r="T23" s="58">
        <v>0.41</v>
      </c>
      <c r="U23" s="58">
        <v>0.46</v>
      </c>
      <c r="V23" s="58">
        <v>0.35</v>
      </c>
      <c r="W23" s="58">
        <v>0.42</v>
      </c>
      <c r="X23" s="58">
        <v>0.39</v>
      </c>
      <c r="Y23" s="58">
        <v>0.39</v>
      </c>
      <c r="Z23" s="58">
        <v>0.43</v>
      </c>
      <c r="AA23" s="58">
        <v>0.42</v>
      </c>
      <c r="AB23" s="58">
        <v>0.36</v>
      </c>
      <c r="AC23" s="58">
        <v>0.44</v>
      </c>
      <c r="AD23" s="58">
        <v>0.41</v>
      </c>
      <c r="AE23" s="58">
        <v>0.48</v>
      </c>
      <c r="AF23" s="58">
        <v>0.41</v>
      </c>
      <c r="AG23" s="58">
        <v>0.45</v>
      </c>
      <c r="AH23" s="58">
        <v>0.36</v>
      </c>
      <c r="AI23" s="58">
        <v>0.42</v>
      </c>
      <c r="AJ23" s="58">
        <v>0.46</v>
      </c>
      <c r="AK23" s="58">
        <v>0.47</v>
      </c>
      <c r="AL23" s="57">
        <f t="shared" si="0"/>
        <v>0.42030303030303034</v>
      </c>
      <c r="AM23" s="34"/>
    </row>
    <row r="24" spans="1:39" ht="45" customHeight="1" x14ac:dyDescent="0.3">
      <c r="A24" s="59"/>
      <c r="B24" s="25" t="s">
        <v>549</v>
      </c>
      <c r="C24" s="14" t="s">
        <v>587</v>
      </c>
      <c r="D24" s="57">
        <v>0.47</v>
      </c>
      <c r="E24" s="58">
        <v>0.49</v>
      </c>
      <c r="F24" s="58">
        <v>0.53</v>
      </c>
      <c r="G24" s="58">
        <v>0.49</v>
      </c>
      <c r="H24" s="58">
        <v>0.44</v>
      </c>
      <c r="I24" s="58">
        <v>0.52</v>
      </c>
      <c r="J24" s="58">
        <v>0.53</v>
      </c>
      <c r="K24" s="58">
        <v>0.55000000000000004</v>
      </c>
      <c r="L24" s="58">
        <v>0.49</v>
      </c>
      <c r="M24" s="58">
        <v>0.47</v>
      </c>
      <c r="N24" s="58">
        <v>0.46</v>
      </c>
      <c r="O24" s="58">
        <v>0.56999999999999995</v>
      </c>
      <c r="P24" s="58">
        <v>0.43</v>
      </c>
      <c r="Q24" s="58">
        <v>0.56999999999999995</v>
      </c>
      <c r="R24" s="58">
        <v>0.48</v>
      </c>
      <c r="S24" s="58">
        <v>0.56000000000000005</v>
      </c>
      <c r="T24" s="58">
        <v>0.52</v>
      </c>
      <c r="U24" s="58">
        <v>0.47</v>
      </c>
      <c r="V24" s="58">
        <v>0.48</v>
      </c>
      <c r="W24" s="58">
        <v>0.49</v>
      </c>
      <c r="X24" s="58">
        <v>0.5</v>
      </c>
      <c r="Y24" s="58">
        <v>0.51</v>
      </c>
      <c r="Z24" s="58">
        <v>0.49</v>
      </c>
      <c r="AA24" s="58">
        <v>0.53</v>
      </c>
      <c r="AB24" s="58">
        <v>0.48</v>
      </c>
      <c r="AC24" s="58">
        <v>0.51</v>
      </c>
      <c r="AD24" s="58">
        <v>0.53</v>
      </c>
      <c r="AE24" s="58">
        <v>0.52</v>
      </c>
      <c r="AF24" s="58">
        <v>0.47</v>
      </c>
      <c r="AG24" s="58">
        <v>0.55000000000000004</v>
      </c>
      <c r="AH24" s="58">
        <v>0.46</v>
      </c>
      <c r="AI24" s="58">
        <v>0.49</v>
      </c>
      <c r="AJ24" s="58">
        <v>0.54</v>
      </c>
      <c r="AK24" s="58">
        <v>0.5</v>
      </c>
      <c r="AL24" s="57">
        <f t="shared" si="0"/>
        <v>0.50363636363636366</v>
      </c>
      <c r="AM24" s="34"/>
    </row>
    <row r="25" spans="1:39" ht="45" customHeight="1" x14ac:dyDescent="0.3">
      <c r="A25" s="59"/>
      <c r="B25" s="25" t="s">
        <v>551</v>
      </c>
      <c r="C25" s="14" t="s">
        <v>588</v>
      </c>
      <c r="D25" s="57">
        <v>0.34</v>
      </c>
      <c r="E25" s="58">
        <v>0.28999999999999998</v>
      </c>
      <c r="F25" s="58">
        <v>0.32</v>
      </c>
      <c r="G25" s="58">
        <v>0.28999999999999998</v>
      </c>
      <c r="H25" s="58">
        <v>0.24</v>
      </c>
      <c r="I25" s="58">
        <v>0.26</v>
      </c>
      <c r="J25" s="58">
        <v>0.27</v>
      </c>
      <c r="K25" s="58">
        <v>0.25</v>
      </c>
      <c r="L25" s="58">
        <v>0.34</v>
      </c>
      <c r="M25" s="58">
        <v>0.27</v>
      </c>
      <c r="N25" s="58">
        <v>0.26</v>
      </c>
      <c r="O25" s="58">
        <v>0.25</v>
      </c>
      <c r="P25" s="58">
        <v>0.24</v>
      </c>
      <c r="Q25" s="58">
        <v>0.32</v>
      </c>
      <c r="R25" s="58">
        <v>0.27</v>
      </c>
      <c r="S25" s="58">
        <v>0.28999999999999998</v>
      </c>
      <c r="T25" s="58">
        <v>0.28999999999999998</v>
      </c>
      <c r="U25" s="58">
        <v>0.26</v>
      </c>
      <c r="V25" s="58">
        <v>0.25</v>
      </c>
      <c r="W25" s="58">
        <v>0.27</v>
      </c>
      <c r="X25" s="58">
        <v>0.26</v>
      </c>
      <c r="Y25" s="58">
        <v>0.26</v>
      </c>
      <c r="Z25" s="58">
        <v>0.28999999999999998</v>
      </c>
      <c r="AA25" s="58">
        <v>0.28999999999999998</v>
      </c>
      <c r="AB25" s="58">
        <v>0.28000000000000003</v>
      </c>
      <c r="AC25" s="58">
        <v>0.28999999999999998</v>
      </c>
      <c r="AD25" s="58">
        <v>0.25</v>
      </c>
      <c r="AE25" s="58">
        <v>0.26</v>
      </c>
      <c r="AF25" s="58">
        <v>0.28000000000000003</v>
      </c>
      <c r="AG25" s="58">
        <v>0.31</v>
      </c>
      <c r="AH25" s="58">
        <v>0.3</v>
      </c>
      <c r="AI25" s="58">
        <v>0.3</v>
      </c>
      <c r="AJ25" s="58">
        <v>0.34</v>
      </c>
      <c r="AK25" s="58">
        <v>0.31</v>
      </c>
      <c r="AL25" s="57">
        <f t="shared" si="0"/>
        <v>0.28030303030303033</v>
      </c>
      <c r="AM25" s="34"/>
    </row>
    <row r="26" spans="1:39" ht="45" customHeight="1" x14ac:dyDescent="0.3">
      <c r="A26" s="59"/>
      <c r="B26" s="25" t="s">
        <v>539</v>
      </c>
      <c r="C26" s="14" t="s">
        <v>589</v>
      </c>
      <c r="D26" s="57">
        <v>0.53</v>
      </c>
      <c r="E26" s="58">
        <v>0.49</v>
      </c>
      <c r="F26" s="58">
        <v>0.52</v>
      </c>
      <c r="G26" s="58">
        <v>0.5</v>
      </c>
      <c r="H26" s="58">
        <v>0.44</v>
      </c>
      <c r="I26" s="58">
        <v>0.5</v>
      </c>
      <c r="J26" s="58">
        <v>0.51</v>
      </c>
      <c r="K26" s="58">
        <v>0.56000000000000005</v>
      </c>
      <c r="L26" s="58">
        <v>0.5</v>
      </c>
      <c r="M26" s="58">
        <v>0.48</v>
      </c>
      <c r="N26" s="58">
        <v>0.5</v>
      </c>
      <c r="O26" s="58">
        <v>0.54</v>
      </c>
      <c r="P26" s="58">
        <v>0.39</v>
      </c>
      <c r="Q26" s="58">
        <v>0.59</v>
      </c>
      <c r="R26" s="58">
        <v>0.46</v>
      </c>
      <c r="S26" s="58">
        <v>0.54</v>
      </c>
      <c r="T26" s="58">
        <v>0.56000000000000005</v>
      </c>
      <c r="U26" s="58">
        <v>0.53</v>
      </c>
      <c r="V26" s="58">
        <v>0.49</v>
      </c>
      <c r="W26" s="58">
        <v>0.51</v>
      </c>
      <c r="X26" s="58">
        <v>0.42</v>
      </c>
      <c r="Y26" s="58">
        <v>0.47</v>
      </c>
      <c r="Z26" s="58">
        <v>0.52</v>
      </c>
      <c r="AA26" s="58">
        <v>0.56000000000000005</v>
      </c>
      <c r="AB26" s="58">
        <v>0.49</v>
      </c>
      <c r="AC26" s="58">
        <v>0.5</v>
      </c>
      <c r="AD26" s="58">
        <v>0.51</v>
      </c>
      <c r="AE26" s="58">
        <v>0.55000000000000004</v>
      </c>
      <c r="AF26" s="58">
        <v>0.49</v>
      </c>
      <c r="AG26" s="58">
        <v>0.56000000000000005</v>
      </c>
      <c r="AH26" s="58">
        <v>0.46</v>
      </c>
      <c r="AI26" s="58">
        <v>0.51</v>
      </c>
      <c r="AJ26" s="58">
        <v>0.55000000000000004</v>
      </c>
      <c r="AK26" s="58">
        <v>0.51</v>
      </c>
      <c r="AL26" s="57">
        <f t="shared" si="0"/>
        <v>0.50636363636363646</v>
      </c>
      <c r="AM26" s="34"/>
    </row>
    <row r="27" spans="1:39" ht="45" customHeight="1" x14ac:dyDescent="0.3">
      <c r="A27" s="59"/>
      <c r="B27" s="25" t="s">
        <v>541</v>
      </c>
      <c r="C27" s="14" t="s">
        <v>590</v>
      </c>
      <c r="D27" s="57">
        <v>0.37</v>
      </c>
      <c r="E27" s="58">
        <v>0.32</v>
      </c>
      <c r="F27" s="58">
        <v>0.31</v>
      </c>
      <c r="G27" s="58">
        <v>0.31</v>
      </c>
      <c r="H27" s="58">
        <v>0.31</v>
      </c>
      <c r="I27" s="58">
        <v>0.33</v>
      </c>
      <c r="J27" s="58">
        <v>0.33</v>
      </c>
      <c r="K27" s="58">
        <v>0.33</v>
      </c>
      <c r="L27" s="58">
        <v>0.31</v>
      </c>
      <c r="M27" s="58">
        <v>0.28999999999999998</v>
      </c>
      <c r="N27" s="58">
        <v>0.3</v>
      </c>
      <c r="O27" s="58">
        <v>0.32</v>
      </c>
      <c r="P27" s="58">
        <v>0.28000000000000003</v>
      </c>
      <c r="Q27" s="58">
        <v>0.36</v>
      </c>
      <c r="R27" s="58">
        <v>0.3</v>
      </c>
      <c r="S27" s="58">
        <v>0.36</v>
      </c>
      <c r="T27" s="58">
        <v>0.34</v>
      </c>
      <c r="U27" s="58">
        <v>0.35</v>
      </c>
      <c r="V27" s="58">
        <v>0.31</v>
      </c>
      <c r="W27" s="58">
        <v>0.31</v>
      </c>
      <c r="X27" s="58">
        <v>0.32</v>
      </c>
      <c r="Y27" s="58">
        <v>0.34</v>
      </c>
      <c r="Z27" s="58">
        <v>0.33</v>
      </c>
      <c r="AA27" s="58">
        <v>0.38</v>
      </c>
      <c r="AB27" s="58">
        <v>0.31</v>
      </c>
      <c r="AC27" s="58">
        <v>0.33</v>
      </c>
      <c r="AD27" s="58">
        <v>0.28999999999999998</v>
      </c>
      <c r="AE27" s="58">
        <v>0.32</v>
      </c>
      <c r="AF27" s="58">
        <v>0.31</v>
      </c>
      <c r="AG27" s="58">
        <v>0.35</v>
      </c>
      <c r="AH27" s="58">
        <v>0.31</v>
      </c>
      <c r="AI27" s="58">
        <v>0.35</v>
      </c>
      <c r="AJ27" s="58">
        <v>0.38</v>
      </c>
      <c r="AK27" s="58">
        <v>0.38</v>
      </c>
      <c r="AL27" s="57">
        <f t="shared" si="0"/>
        <v>0.32636363636363636</v>
      </c>
      <c r="AM27" s="34"/>
    </row>
    <row r="28" spans="1:39" ht="45" customHeight="1" x14ac:dyDescent="0.3">
      <c r="A28" s="59"/>
      <c r="B28" s="25" t="s">
        <v>591</v>
      </c>
      <c r="C28" s="14" t="s">
        <v>592</v>
      </c>
      <c r="D28" s="57">
        <v>0.38</v>
      </c>
      <c r="E28" s="58">
        <v>0.33</v>
      </c>
      <c r="F28" s="58">
        <v>0.32</v>
      </c>
      <c r="G28" s="58">
        <v>0.35</v>
      </c>
      <c r="H28" s="58">
        <v>0.34</v>
      </c>
      <c r="I28" s="58">
        <v>0.33</v>
      </c>
      <c r="J28" s="58">
        <v>0.35</v>
      </c>
      <c r="K28" s="58">
        <v>0.33</v>
      </c>
      <c r="L28" s="58">
        <v>0.35</v>
      </c>
      <c r="M28" s="58">
        <v>0.31</v>
      </c>
      <c r="N28" s="58">
        <v>0.27</v>
      </c>
      <c r="O28" s="58">
        <v>0.37</v>
      </c>
      <c r="P28" s="58">
        <v>0.28000000000000003</v>
      </c>
      <c r="Q28" s="58">
        <v>0.39</v>
      </c>
      <c r="R28" s="58">
        <v>0.33</v>
      </c>
      <c r="S28" s="58">
        <v>0.35</v>
      </c>
      <c r="T28" s="58">
        <v>0.36</v>
      </c>
      <c r="U28" s="58">
        <v>0.34</v>
      </c>
      <c r="V28" s="58">
        <v>0.33</v>
      </c>
      <c r="W28" s="58">
        <v>0.32</v>
      </c>
      <c r="X28" s="58">
        <v>0.35</v>
      </c>
      <c r="Y28" s="58">
        <v>0.32</v>
      </c>
      <c r="Z28" s="58">
        <v>0.33</v>
      </c>
      <c r="AA28" s="58">
        <v>0.36</v>
      </c>
      <c r="AB28" s="58">
        <v>0.28999999999999998</v>
      </c>
      <c r="AC28" s="58">
        <v>0.36</v>
      </c>
      <c r="AD28" s="58">
        <v>0.34</v>
      </c>
      <c r="AE28" s="58">
        <v>0.34</v>
      </c>
      <c r="AF28" s="58">
        <v>0.34</v>
      </c>
      <c r="AG28" s="58">
        <v>0.34</v>
      </c>
      <c r="AH28" s="58">
        <v>0.34</v>
      </c>
      <c r="AI28" s="58">
        <v>0.36</v>
      </c>
      <c r="AJ28" s="58">
        <v>0.38</v>
      </c>
      <c r="AK28" s="58">
        <v>0.3</v>
      </c>
      <c r="AL28" s="57">
        <f t="shared" si="0"/>
        <v>0.33636363636363636</v>
      </c>
      <c r="AM28" s="34"/>
    </row>
    <row r="29" spans="1:39" ht="45" customHeight="1" x14ac:dyDescent="0.3">
      <c r="A29" s="56" t="s">
        <v>593</v>
      </c>
      <c r="B29" s="25" t="s">
        <v>524</v>
      </c>
      <c r="C29" s="14" t="s">
        <v>594</v>
      </c>
      <c r="D29" s="57">
        <v>0.32</v>
      </c>
      <c r="E29" s="58">
        <v>0.28000000000000003</v>
      </c>
      <c r="F29" s="58">
        <v>0.28000000000000003</v>
      </c>
      <c r="G29" s="58">
        <v>0.27</v>
      </c>
      <c r="H29" s="58">
        <v>0.3</v>
      </c>
      <c r="I29" s="58">
        <v>0.27</v>
      </c>
      <c r="J29" s="58">
        <v>0.28000000000000003</v>
      </c>
      <c r="K29" s="58">
        <v>0.28999999999999998</v>
      </c>
      <c r="L29" s="58">
        <v>0.28000000000000003</v>
      </c>
      <c r="M29" s="58">
        <v>0.28000000000000003</v>
      </c>
      <c r="N29" s="58">
        <v>0.28999999999999998</v>
      </c>
      <c r="O29" s="58">
        <v>0.25</v>
      </c>
      <c r="P29" s="58">
        <v>0.31</v>
      </c>
      <c r="Q29" s="58">
        <v>0.28999999999999998</v>
      </c>
      <c r="R29" s="58">
        <v>0.31</v>
      </c>
      <c r="S29" s="58">
        <v>0.27</v>
      </c>
      <c r="T29" s="58">
        <v>0.28999999999999998</v>
      </c>
      <c r="U29" s="58">
        <v>0.28999999999999998</v>
      </c>
      <c r="V29" s="58">
        <v>0.25</v>
      </c>
      <c r="W29" s="58">
        <v>0.28999999999999998</v>
      </c>
      <c r="X29" s="58">
        <v>0.26</v>
      </c>
      <c r="Y29" s="58">
        <v>0.27</v>
      </c>
      <c r="Z29" s="58">
        <v>0.28000000000000003</v>
      </c>
      <c r="AA29" s="58">
        <v>0.28999999999999998</v>
      </c>
      <c r="AB29" s="58">
        <v>0.28000000000000003</v>
      </c>
      <c r="AC29" s="58">
        <v>0.27</v>
      </c>
      <c r="AD29" s="58">
        <v>0.27</v>
      </c>
      <c r="AE29" s="58">
        <v>0.31</v>
      </c>
      <c r="AF29" s="58">
        <v>0.32</v>
      </c>
      <c r="AG29" s="58">
        <v>0.28999999999999998</v>
      </c>
      <c r="AH29" s="58">
        <v>0.28000000000000003</v>
      </c>
      <c r="AI29" s="58">
        <v>0.27</v>
      </c>
      <c r="AJ29" s="58">
        <v>0.31</v>
      </c>
      <c r="AK29" s="58">
        <v>0.3</v>
      </c>
      <c r="AL29" s="57">
        <f t="shared" si="0"/>
        <v>0.28393939393939399</v>
      </c>
      <c r="AM29" s="34"/>
    </row>
    <row r="30" spans="1:39" ht="45" customHeight="1" x14ac:dyDescent="0.3">
      <c r="A30" s="59"/>
      <c r="B30" s="25" t="s">
        <v>526</v>
      </c>
      <c r="C30" s="14" t="s">
        <v>595</v>
      </c>
      <c r="D30" s="57">
        <v>0.53</v>
      </c>
      <c r="E30" s="58">
        <v>0.53</v>
      </c>
      <c r="F30" s="58">
        <v>0.53</v>
      </c>
      <c r="G30" s="58">
        <v>0.52</v>
      </c>
      <c r="H30" s="58">
        <v>0.46</v>
      </c>
      <c r="I30" s="58">
        <v>0.51</v>
      </c>
      <c r="J30" s="58">
        <v>0.53</v>
      </c>
      <c r="K30" s="58">
        <v>0.56999999999999995</v>
      </c>
      <c r="L30" s="58">
        <v>0.5</v>
      </c>
      <c r="M30" s="58">
        <v>0.46</v>
      </c>
      <c r="N30" s="58">
        <v>0.47</v>
      </c>
      <c r="O30" s="58">
        <v>0.53</v>
      </c>
      <c r="P30" s="58">
        <v>0.4</v>
      </c>
      <c r="Q30" s="58">
        <v>0.59</v>
      </c>
      <c r="R30" s="58">
        <v>0.46</v>
      </c>
      <c r="S30" s="58">
        <v>0.55000000000000004</v>
      </c>
      <c r="T30" s="58">
        <v>0.54</v>
      </c>
      <c r="U30" s="58">
        <v>0.54</v>
      </c>
      <c r="V30" s="58">
        <v>0.47</v>
      </c>
      <c r="W30" s="58">
        <v>0.52</v>
      </c>
      <c r="X30" s="58">
        <v>0.44</v>
      </c>
      <c r="Y30" s="58">
        <v>0.5</v>
      </c>
      <c r="Z30" s="58">
        <v>0.49</v>
      </c>
      <c r="AA30" s="58">
        <v>0.56000000000000005</v>
      </c>
      <c r="AB30" s="58">
        <v>0.45</v>
      </c>
      <c r="AC30" s="58">
        <v>0.49</v>
      </c>
      <c r="AD30" s="58">
        <v>0.53</v>
      </c>
      <c r="AE30" s="58">
        <v>0.54</v>
      </c>
      <c r="AF30" s="58">
        <v>0.48</v>
      </c>
      <c r="AG30" s="58">
        <v>0.56999999999999995</v>
      </c>
      <c r="AH30" s="58">
        <v>0.5</v>
      </c>
      <c r="AI30" s="58">
        <v>0.53</v>
      </c>
      <c r="AJ30" s="58">
        <v>0.59</v>
      </c>
      <c r="AK30" s="58">
        <v>0.52</v>
      </c>
      <c r="AL30" s="57">
        <f t="shared" si="0"/>
        <v>0.51121212121212123</v>
      </c>
      <c r="AM30" s="34"/>
    </row>
    <row r="31" spans="1:39" ht="45" customHeight="1" x14ac:dyDescent="0.3">
      <c r="A31" s="59"/>
      <c r="B31" s="25" t="s">
        <v>520</v>
      </c>
      <c r="C31" s="14" t="s">
        <v>596</v>
      </c>
      <c r="D31" s="57">
        <v>0.39</v>
      </c>
      <c r="E31" s="58">
        <v>0.36</v>
      </c>
      <c r="F31" s="58">
        <v>0.34</v>
      </c>
      <c r="G31" s="58">
        <v>0.33</v>
      </c>
      <c r="H31" s="58">
        <v>0.33</v>
      </c>
      <c r="I31" s="58">
        <v>0.33</v>
      </c>
      <c r="J31" s="58">
        <v>0.37</v>
      </c>
      <c r="K31" s="58">
        <v>0.38</v>
      </c>
      <c r="L31" s="58">
        <v>0.34</v>
      </c>
      <c r="M31" s="58">
        <v>0.34</v>
      </c>
      <c r="N31" s="58">
        <v>0.32</v>
      </c>
      <c r="O31" s="58">
        <v>0.36</v>
      </c>
      <c r="P31" s="58">
        <v>0.28000000000000003</v>
      </c>
      <c r="Q31" s="58">
        <v>0.4</v>
      </c>
      <c r="R31" s="58">
        <v>0.33</v>
      </c>
      <c r="S31" s="58">
        <v>0.35</v>
      </c>
      <c r="T31" s="58">
        <v>0.35</v>
      </c>
      <c r="U31" s="58">
        <v>0.35</v>
      </c>
      <c r="V31" s="58">
        <v>0.31</v>
      </c>
      <c r="W31" s="58">
        <v>0.34</v>
      </c>
      <c r="X31" s="58">
        <v>0.31</v>
      </c>
      <c r="Y31" s="58">
        <v>0.33</v>
      </c>
      <c r="Z31" s="58">
        <v>0.32</v>
      </c>
      <c r="AA31" s="58">
        <v>0.36</v>
      </c>
      <c r="AB31" s="58">
        <v>0.33</v>
      </c>
      <c r="AC31" s="58">
        <v>0.35</v>
      </c>
      <c r="AD31" s="58">
        <v>0.35</v>
      </c>
      <c r="AE31" s="58">
        <v>0.34</v>
      </c>
      <c r="AF31" s="58">
        <v>0.32</v>
      </c>
      <c r="AG31" s="58">
        <v>0.41</v>
      </c>
      <c r="AH31" s="58">
        <v>0.33</v>
      </c>
      <c r="AI31" s="58">
        <v>0.34</v>
      </c>
      <c r="AJ31" s="58">
        <v>0.37</v>
      </c>
      <c r="AK31" s="58">
        <v>0.34</v>
      </c>
      <c r="AL31" s="57">
        <f t="shared" si="0"/>
        <v>0.34272727272727266</v>
      </c>
      <c r="AM31" s="34"/>
    </row>
    <row r="32" spans="1:39" ht="45" customHeight="1" x14ac:dyDescent="0.3">
      <c r="A32" s="59"/>
      <c r="B32" s="25" t="s">
        <v>522</v>
      </c>
      <c r="C32" s="14" t="s">
        <v>597</v>
      </c>
      <c r="D32" s="57">
        <v>0.38</v>
      </c>
      <c r="E32" s="58">
        <v>0.33</v>
      </c>
      <c r="F32" s="58">
        <v>0.38</v>
      </c>
      <c r="G32" s="58">
        <v>0.35</v>
      </c>
      <c r="H32" s="58">
        <v>0.32</v>
      </c>
      <c r="I32" s="58">
        <v>0.37</v>
      </c>
      <c r="J32" s="58">
        <v>0.38</v>
      </c>
      <c r="K32" s="58">
        <v>0.39</v>
      </c>
      <c r="L32" s="58">
        <v>0.35</v>
      </c>
      <c r="M32" s="58">
        <v>0.34</v>
      </c>
      <c r="N32" s="58">
        <v>0.34</v>
      </c>
      <c r="O32" s="58">
        <v>0.41</v>
      </c>
      <c r="P32" s="58">
        <v>0.3</v>
      </c>
      <c r="Q32" s="58">
        <v>0.44</v>
      </c>
      <c r="R32" s="58">
        <v>0.33</v>
      </c>
      <c r="S32" s="58">
        <v>0.38</v>
      </c>
      <c r="T32" s="58">
        <v>0.37</v>
      </c>
      <c r="U32" s="58">
        <v>0.37</v>
      </c>
      <c r="V32" s="58">
        <v>0.32</v>
      </c>
      <c r="W32" s="58">
        <v>0.37</v>
      </c>
      <c r="X32" s="58">
        <v>0.32</v>
      </c>
      <c r="Y32" s="58">
        <v>0.36</v>
      </c>
      <c r="Z32" s="58">
        <v>0.34</v>
      </c>
      <c r="AA32" s="58">
        <v>0.38</v>
      </c>
      <c r="AB32" s="58">
        <v>0.34</v>
      </c>
      <c r="AC32" s="58">
        <v>0.37</v>
      </c>
      <c r="AD32" s="58">
        <v>0.34</v>
      </c>
      <c r="AE32" s="58">
        <v>0.39</v>
      </c>
      <c r="AF32" s="58">
        <v>0.36</v>
      </c>
      <c r="AG32" s="58">
        <v>0.41</v>
      </c>
      <c r="AH32" s="58">
        <v>0.34</v>
      </c>
      <c r="AI32" s="58">
        <v>0.38</v>
      </c>
      <c r="AJ32" s="58">
        <v>0.41</v>
      </c>
      <c r="AK32" s="58">
        <v>0.39</v>
      </c>
      <c r="AL32" s="57">
        <f t="shared" si="0"/>
        <v>0.36272727272727279</v>
      </c>
      <c r="AM32" s="34"/>
    </row>
    <row r="33" spans="1:39" ht="45" customHeight="1" x14ac:dyDescent="0.3">
      <c r="A33" s="59"/>
      <c r="B33" s="25" t="s">
        <v>549</v>
      </c>
      <c r="C33" s="14" t="s">
        <v>598</v>
      </c>
      <c r="D33" s="57">
        <v>0.36</v>
      </c>
      <c r="E33" s="58">
        <v>0.28000000000000003</v>
      </c>
      <c r="F33" s="58">
        <v>0.28000000000000003</v>
      </c>
      <c r="G33" s="58">
        <v>0.28000000000000003</v>
      </c>
      <c r="H33" s="58">
        <v>0.25</v>
      </c>
      <c r="I33" s="58">
        <v>0.26</v>
      </c>
      <c r="J33" s="58">
        <v>0.28999999999999998</v>
      </c>
      <c r="K33" s="58">
        <v>0.25</v>
      </c>
      <c r="L33" s="58">
        <v>0.25</v>
      </c>
      <c r="M33" s="58">
        <v>0.24</v>
      </c>
      <c r="N33" s="58">
        <v>0.23</v>
      </c>
      <c r="O33" s="58">
        <v>0.27</v>
      </c>
      <c r="P33" s="58">
        <v>0.28999999999999998</v>
      </c>
      <c r="Q33" s="58">
        <v>0.34</v>
      </c>
      <c r="R33" s="58">
        <v>0.28000000000000003</v>
      </c>
      <c r="S33" s="58">
        <v>0.28999999999999998</v>
      </c>
      <c r="T33" s="58">
        <v>0.28999999999999998</v>
      </c>
      <c r="U33" s="58">
        <v>0.31</v>
      </c>
      <c r="V33" s="58">
        <v>0.24</v>
      </c>
      <c r="W33" s="58">
        <v>0.28000000000000003</v>
      </c>
      <c r="X33" s="58">
        <v>0.25</v>
      </c>
      <c r="Y33" s="58">
        <v>0.24</v>
      </c>
      <c r="Z33" s="58">
        <v>0.26</v>
      </c>
      <c r="AA33" s="58">
        <v>0.3</v>
      </c>
      <c r="AB33" s="58">
        <v>0.28999999999999998</v>
      </c>
      <c r="AC33" s="58">
        <v>0.27</v>
      </c>
      <c r="AD33" s="58">
        <v>0.26</v>
      </c>
      <c r="AE33" s="58">
        <v>0.3</v>
      </c>
      <c r="AF33" s="58">
        <v>0.31</v>
      </c>
      <c r="AG33" s="58">
        <v>0.31</v>
      </c>
      <c r="AH33" s="58">
        <v>0.25</v>
      </c>
      <c r="AI33" s="58">
        <v>0.26</v>
      </c>
      <c r="AJ33" s="58">
        <v>0.35</v>
      </c>
      <c r="AK33" s="58">
        <v>0.28999999999999998</v>
      </c>
      <c r="AL33" s="57">
        <f t="shared" si="0"/>
        <v>0.27696969696969687</v>
      </c>
      <c r="AM33" s="34"/>
    </row>
    <row r="34" spans="1:39" ht="45" customHeight="1" x14ac:dyDescent="0.3">
      <c r="A34" s="59"/>
      <c r="B34" s="25" t="s">
        <v>599</v>
      </c>
      <c r="C34" s="14" t="s">
        <v>600</v>
      </c>
      <c r="D34" s="57">
        <v>0.46</v>
      </c>
      <c r="E34" s="58">
        <v>0.41</v>
      </c>
      <c r="F34" s="58">
        <v>0.4</v>
      </c>
      <c r="G34" s="58">
        <v>0.37</v>
      </c>
      <c r="H34" s="58">
        <v>0.39</v>
      </c>
      <c r="I34" s="58">
        <v>0.41</v>
      </c>
      <c r="J34" s="58">
        <v>0.42</v>
      </c>
      <c r="K34" s="58">
        <v>0.44</v>
      </c>
      <c r="L34" s="58">
        <v>0.37</v>
      </c>
      <c r="M34" s="58">
        <v>0.36</v>
      </c>
      <c r="N34" s="58">
        <v>0.39</v>
      </c>
      <c r="O34" s="58">
        <v>0.43</v>
      </c>
      <c r="P34" s="58">
        <v>0.33</v>
      </c>
      <c r="Q34" s="58">
        <v>0.49</v>
      </c>
      <c r="R34" s="58">
        <v>0.4</v>
      </c>
      <c r="S34" s="58">
        <v>0.43</v>
      </c>
      <c r="T34" s="58">
        <v>0.42</v>
      </c>
      <c r="U34" s="58">
        <v>0.43</v>
      </c>
      <c r="V34" s="58">
        <v>0.4</v>
      </c>
      <c r="W34" s="58">
        <v>0.39</v>
      </c>
      <c r="X34" s="58">
        <v>0.35</v>
      </c>
      <c r="Y34" s="58">
        <v>0.4</v>
      </c>
      <c r="Z34" s="58">
        <v>0.38</v>
      </c>
      <c r="AA34" s="58">
        <v>0.44</v>
      </c>
      <c r="AB34" s="58">
        <v>0.39</v>
      </c>
      <c r="AC34" s="58">
        <v>0.41</v>
      </c>
      <c r="AD34" s="58">
        <v>0.4</v>
      </c>
      <c r="AE34" s="58">
        <v>0.44</v>
      </c>
      <c r="AF34" s="58">
        <v>0.37</v>
      </c>
      <c r="AG34" s="58">
        <v>0.45</v>
      </c>
      <c r="AH34" s="58">
        <v>0.37</v>
      </c>
      <c r="AI34" s="58">
        <v>0.42</v>
      </c>
      <c r="AJ34" s="58">
        <v>0.48</v>
      </c>
      <c r="AK34" s="58">
        <v>0.42</v>
      </c>
      <c r="AL34" s="57">
        <f t="shared" si="0"/>
        <v>0.40606060606060607</v>
      </c>
      <c r="AM34" s="34"/>
    </row>
    <row r="35" spans="1:39" ht="45" customHeight="1" x14ac:dyDescent="0.3">
      <c r="A35" s="59"/>
      <c r="B35" s="25" t="s">
        <v>577</v>
      </c>
      <c r="C35" s="14" t="s">
        <v>601</v>
      </c>
      <c r="D35" s="57">
        <v>0.33</v>
      </c>
      <c r="E35" s="58">
        <v>0.3</v>
      </c>
      <c r="F35" s="58">
        <v>0.31</v>
      </c>
      <c r="G35" s="58">
        <v>0.32</v>
      </c>
      <c r="H35" s="58">
        <v>0.3</v>
      </c>
      <c r="I35" s="58">
        <v>0.32</v>
      </c>
      <c r="J35" s="58">
        <v>0.28999999999999998</v>
      </c>
      <c r="K35" s="58">
        <v>0.35</v>
      </c>
      <c r="L35" s="58">
        <v>0.33</v>
      </c>
      <c r="M35" s="58">
        <v>0.31</v>
      </c>
      <c r="N35" s="58">
        <v>0.33</v>
      </c>
      <c r="O35" s="58">
        <v>0.36</v>
      </c>
      <c r="P35" s="58">
        <v>0.28000000000000003</v>
      </c>
      <c r="Q35" s="58">
        <v>0.36</v>
      </c>
      <c r="R35" s="58">
        <v>0.28999999999999998</v>
      </c>
      <c r="S35" s="58">
        <v>0.32</v>
      </c>
      <c r="T35" s="58">
        <v>0.34</v>
      </c>
      <c r="U35" s="58">
        <v>0.3</v>
      </c>
      <c r="V35" s="58">
        <v>0.28999999999999998</v>
      </c>
      <c r="W35" s="58">
        <v>0.33</v>
      </c>
      <c r="X35" s="58">
        <v>0.31</v>
      </c>
      <c r="Y35" s="58">
        <v>0.33</v>
      </c>
      <c r="Z35" s="58">
        <v>0.3</v>
      </c>
      <c r="AA35" s="58">
        <v>0.35</v>
      </c>
      <c r="AB35" s="58">
        <v>0.31</v>
      </c>
      <c r="AC35" s="58">
        <v>0.33</v>
      </c>
      <c r="AD35" s="58">
        <v>0.3</v>
      </c>
      <c r="AE35" s="58">
        <v>0.34</v>
      </c>
      <c r="AF35" s="58">
        <v>0.33</v>
      </c>
      <c r="AG35" s="58">
        <v>0.34</v>
      </c>
      <c r="AH35" s="58">
        <v>0.32</v>
      </c>
      <c r="AI35" s="58">
        <v>0.34</v>
      </c>
      <c r="AJ35" s="58">
        <v>0.33</v>
      </c>
      <c r="AK35" s="58">
        <v>0.3</v>
      </c>
      <c r="AL35" s="57">
        <f t="shared" si="0"/>
        <v>0.32</v>
      </c>
      <c r="AM35" s="34"/>
    </row>
    <row r="36" spans="1:39" ht="45" customHeight="1" x14ac:dyDescent="0.3">
      <c r="A36" s="59"/>
      <c r="B36" s="25" t="s">
        <v>602</v>
      </c>
      <c r="C36" s="14" t="s">
        <v>603</v>
      </c>
      <c r="D36" s="57">
        <v>0.38</v>
      </c>
      <c r="E36" s="58">
        <v>0.35</v>
      </c>
      <c r="F36" s="58">
        <v>0.38</v>
      </c>
      <c r="G36" s="58">
        <v>0.33</v>
      </c>
      <c r="H36" s="58">
        <v>0.32</v>
      </c>
      <c r="I36" s="58">
        <v>0.36</v>
      </c>
      <c r="J36" s="58">
        <v>0.35</v>
      </c>
      <c r="K36" s="58">
        <v>0.4</v>
      </c>
      <c r="L36" s="58">
        <v>0.34</v>
      </c>
      <c r="M36" s="58">
        <v>0.31</v>
      </c>
      <c r="N36" s="58">
        <v>0.28999999999999998</v>
      </c>
      <c r="O36" s="58">
        <v>0.39</v>
      </c>
      <c r="P36" s="58">
        <v>0.28000000000000003</v>
      </c>
      <c r="Q36" s="58">
        <v>0.41</v>
      </c>
      <c r="R36" s="58">
        <v>0.35</v>
      </c>
      <c r="S36" s="58">
        <v>0.39</v>
      </c>
      <c r="T36" s="58">
        <v>0.38</v>
      </c>
      <c r="U36" s="58">
        <v>0.38</v>
      </c>
      <c r="V36" s="58">
        <v>0.33</v>
      </c>
      <c r="W36" s="58">
        <v>0.38</v>
      </c>
      <c r="X36" s="58">
        <v>0.28999999999999998</v>
      </c>
      <c r="Y36" s="58">
        <v>0.36</v>
      </c>
      <c r="Z36" s="58">
        <v>0.33</v>
      </c>
      <c r="AA36" s="58">
        <v>0.39</v>
      </c>
      <c r="AB36" s="58">
        <v>0.31</v>
      </c>
      <c r="AC36" s="58">
        <v>0.34</v>
      </c>
      <c r="AD36" s="58">
        <v>0.37</v>
      </c>
      <c r="AE36" s="58">
        <v>0.42</v>
      </c>
      <c r="AF36" s="58">
        <v>0.34</v>
      </c>
      <c r="AG36" s="58">
        <v>0.39</v>
      </c>
      <c r="AH36" s="58">
        <v>0.3</v>
      </c>
      <c r="AI36" s="58">
        <v>0.37</v>
      </c>
      <c r="AJ36" s="58">
        <v>0.41</v>
      </c>
      <c r="AK36" s="58">
        <v>0.34</v>
      </c>
      <c r="AL36" s="57">
        <f t="shared" si="0"/>
        <v>0.35393939393939394</v>
      </c>
      <c r="AM36" s="34"/>
    </row>
    <row r="37" spans="1:39" ht="45" customHeight="1" x14ac:dyDescent="0.3">
      <c r="A37" s="59"/>
      <c r="B37" s="25" t="s">
        <v>604</v>
      </c>
      <c r="C37" s="14" t="s">
        <v>605</v>
      </c>
      <c r="D37" s="57">
        <v>0.46</v>
      </c>
      <c r="E37" s="58">
        <v>0.45</v>
      </c>
      <c r="F37" s="58">
        <v>0.46</v>
      </c>
      <c r="G37" s="58">
        <v>0.42</v>
      </c>
      <c r="H37" s="58">
        <v>0.38</v>
      </c>
      <c r="I37" s="58">
        <v>0.43</v>
      </c>
      <c r="J37" s="58">
        <v>0.44</v>
      </c>
      <c r="K37" s="58">
        <v>0.48</v>
      </c>
      <c r="L37" s="58">
        <v>0.42</v>
      </c>
      <c r="M37" s="58">
        <v>0.43</v>
      </c>
      <c r="N37" s="58">
        <v>0.42</v>
      </c>
      <c r="O37" s="58">
        <v>0.49</v>
      </c>
      <c r="P37" s="58">
        <v>0.36</v>
      </c>
      <c r="Q37" s="58">
        <v>0.5</v>
      </c>
      <c r="R37" s="58">
        <v>0.4</v>
      </c>
      <c r="S37" s="58">
        <v>0.45</v>
      </c>
      <c r="T37" s="58">
        <v>0.47</v>
      </c>
      <c r="U37" s="58">
        <v>0.43</v>
      </c>
      <c r="V37" s="58">
        <v>0.39</v>
      </c>
      <c r="W37" s="58">
        <v>0.44</v>
      </c>
      <c r="X37" s="58">
        <v>0.39</v>
      </c>
      <c r="Y37" s="58">
        <v>0.44</v>
      </c>
      <c r="Z37" s="58">
        <v>0.41</v>
      </c>
      <c r="AA37" s="58">
        <v>0.48</v>
      </c>
      <c r="AB37" s="58">
        <v>0.39</v>
      </c>
      <c r="AC37" s="58">
        <v>0.42</v>
      </c>
      <c r="AD37" s="58">
        <v>0.41</v>
      </c>
      <c r="AE37" s="58">
        <v>0.47</v>
      </c>
      <c r="AF37" s="58">
        <v>0.42</v>
      </c>
      <c r="AG37" s="58">
        <v>0.5</v>
      </c>
      <c r="AH37" s="58">
        <v>0.4</v>
      </c>
      <c r="AI37" s="58">
        <v>0.46</v>
      </c>
      <c r="AJ37" s="58">
        <v>0.49</v>
      </c>
      <c r="AK37" s="58">
        <v>0.45</v>
      </c>
      <c r="AL37" s="57">
        <f t="shared" si="0"/>
        <v>0.43606060606060615</v>
      </c>
      <c r="AM37" s="34"/>
    </row>
    <row r="38" spans="1:39" ht="45" customHeight="1" x14ac:dyDescent="0.3">
      <c r="A38" s="59"/>
      <c r="B38" s="25" t="s">
        <v>606</v>
      </c>
      <c r="C38" s="14" t="s">
        <v>607</v>
      </c>
      <c r="D38" s="57">
        <v>0.39</v>
      </c>
      <c r="E38" s="58">
        <v>0.36</v>
      </c>
      <c r="F38" s="58">
        <v>0.36</v>
      </c>
      <c r="G38" s="58">
        <v>0.39</v>
      </c>
      <c r="H38" s="58">
        <v>0.34</v>
      </c>
      <c r="I38" s="58">
        <v>0.37</v>
      </c>
      <c r="J38" s="58">
        <v>0.33</v>
      </c>
      <c r="K38" s="58">
        <v>0.4</v>
      </c>
      <c r="L38" s="58">
        <v>0.34</v>
      </c>
      <c r="M38" s="58">
        <v>0.33</v>
      </c>
      <c r="N38" s="58">
        <v>0.36</v>
      </c>
      <c r="O38" s="58">
        <v>0.43</v>
      </c>
      <c r="P38" s="58">
        <v>0.28000000000000003</v>
      </c>
      <c r="Q38" s="58">
        <v>0.42</v>
      </c>
      <c r="R38" s="58">
        <v>0.35</v>
      </c>
      <c r="S38" s="58">
        <v>0.39</v>
      </c>
      <c r="T38" s="58">
        <v>0.42</v>
      </c>
      <c r="U38" s="58">
        <v>0.39</v>
      </c>
      <c r="V38" s="58">
        <v>0.33</v>
      </c>
      <c r="W38" s="58">
        <v>0.36</v>
      </c>
      <c r="X38" s="58">
        <v>0.33</v>
      </c>
      <c r="Y38" s="58">
        <v>0.39</v>
      </c>
      <c r="Z38" s="58">
        <v>0.37</v>
      </c>
      <c r="AA38" s="58">
        <v>0.4</v>
      </c>
      <c r="AB38" s="58">
        <v>0.34</v>
      </c>
      <c r="AC38" s="58">
        <v>0.38</v>
      </c>
      <c r="AD38" s="58">
        <v>0.39</v>
      </c>
      <c r="AE38" s="58">
        <v>0.39</v>
      </c>
      <c r="AF38" s="58">
        <v>0.36</v>
      </c>
      <c r="AG38" s="58">
        <v>0.43</v>
      </c>
      <c r="AH38" s="58">
        <v>0.34</v>
      </c>
      <c r="AI38" s="58">
        <v>0.39</v>
      </c>
      <c r="AJ38" s="58">
        <v>0.4</v>
      </c>
      <c r="AK38" s="58">
        <v>0.4</v>
      </c>
      <c r="AL38" s="57">
        <f t="shared" si="0"/>
        <v>0.37151515151515158</v>
      </c>
      <c r="AM38" s="34"/>
    </row>
    <row r="39" spans="1:39" ht="45" customHeight="1" x14ac:dyDescent="0.3">
      <c r="A39" s="59"/>
      <c r="B39" s="25" t="s">
        <v>608</v>
      </c>
      <c r="C39" s="14" t="s">
        <v>609</v>
      </c>
      <c r="D39" s="57">
        <v>0.36</v>
      </c>
      <c r="E39" s="58">
        <v>0.35</v>
      </c>
      <c r="F39" s="58">
        <v>0.36</v>
      </c>
      <c r="G39" s="58">
        <v>0.36</v>
      </c>
      <c r="H39" s="58">
        <v>0.32</v>
      </c>
      <c r="I39" s="58">
        <v>0.37</v>
      </c>
      <c r="J39" s="58">
        <v>0.36</v>
      </c>
      <c r="K39" s="58">
        <v>0.41</v>
      </c>
      <c r="L39" s="58">
        <v>0.37</v>
      </c>
      <c r="M39" s="58">
        <v>0.33</v>
      </c>
      <c r="N39" s="58">
        <v>0.33</v>
      </c>
      <c r="O39" s="58">
        <v>0.38</v>
      </c>
      <c r="P39" s="58">
        <v>0.33</v>
      </c>
      <c r="Q39" s="58">
        <v>0.4</v>
      </c>
      <c r="R39" s="58">
        <v>0.34</v>
      </c>
      <c r="S39" s="58">
        <v>0.38</v>
      </c>
      <c r="T39" s="58">
        <v>0.38</v>
      </c>
      <c r="U39" s="58">
        <v>0.35</v>
      </c>
      <c r="V39" s="58">
        <v>0.31</v>
      </c>
      <c r="W39" s="58">
        <v>0.35</v>
      </c>
      <c r="X39" s="58">
        <v>0.32</v>
      </c>
      <c r="Y39" s="58">
        <v>0.36</v>
      </c>
      <c r="Z39" s="58">
        <v>0.35</v>
      </c>
      <c r="AA39" s="58">
        <v>0.4</v>
      </c>
      <c r="AB39" s="58">
        <v>0.34</v>
      </c>
      <c r="AC39" s="58">
        <v>0.34</v>
      </c>
      <c r="AD39" s="58">
        <v>0.33</v>
      </c>
      <c r="AE39" s="58">
        <v>0.36</v>
      </c>
      <c r="AF39" s="58">
        <v>0.33</v>
      </c>
      <c r="AG39" s="58">
        <v>0.4</v>
      </c>
      <c r="AH39" s="58">
        <v>0.33</v>
      </c>
      <c r="AI39" s="58">
        <v>0.39</v>
      </c>
      <c r="AJ39" s="58">
        <v>0.38</v>
      </c>
      <c r="AK39" s="58">
        <v>0.37</v>
      </c>
      <c r="AL39" s="57">
        <f t="shared" si="0"/>
        <v>0.35696969696969694</v>
      </c>
      <c r="AM39" s="34"/>
    </row>
    <row r="40" spans="1:39" ht="45" customHeight="1" x14ac:dyDescent="0.3">
      <c r="A40" s="59"/>
      <c r="B40" s="25" t="s">
        <v>610</v>
      </c>
      <c r="C40" s="14" t="s">
        <v>611</v>
      </c>
      <c r="D40" s="57">
        <v>0.34</v>
      </c>
      <c r="E40" s="58">
        <v>0.33</v>
      </c>
      <c r="F40" s="58">
        <v>0.36</v>
      </c>
      <c r="G40" s="58">
        <v>0.31</v>
      </c>
      <c r="H40" s="58">
        <v>0.35</v>
      </c>
      <c r="I40" s="58">
        <v>0.36</v>
      </c>
      <c r="J40" s="58">
        <v>0.34</v>
      </c>
      <c r="K40" s="58">
        <v>0.37</v>
      </c>
      <c r="L40" s="58">
        <v>0.38</v>
      </c>
      <c r="M40" s="58">
        <v>0.35</v>
      </c>
      <c r="N40" s="58">
        <v>0.35</v>
      </c>
      <c r="O40" s="58">
        <v>0.39</v>
      </c>
      <c r="P40" s="58">
        <v>0.3</v>
      </c>
      <c r="Q40" s="58">
        <v>0.37</v>
      </c>
      <c r="R40" s="58">
        <v>0.38</v>
      </c>
      <c r="S40" s="58">
        <v>0.38</v>
      </c>
      <c r="T40" s="58">
        <v>0.4</v>
      </c>
      <c r="U40" s="58">
        <v>0.35</v>
      </c>
      <c r="V40" s="58">
        <v>0.3</v>
      </c>
      <c r="W40" s="58">
        <v>0.35</v>
      </c>
      <c r="X40" s="58">
        <v>0.31</v>
      </c>
      <c r="Y40" s="58">
        <v>0.35</v>
      </c>
      <c r="Z40" s="58">
        <v>0.38</v>
      </c>
      <c r="AA40" s="58">
        <v>0.36</v>
      </c>
      <c r="AB40" s="58">
        <v>0.33</v>
      </c>
      <c r="AC40" s="58">
        <v>0.39</v>
      </c>
      <c r="AD40" s="58">
        <v>0.35</v>
      </c>
      <c r="AE40" s="58">
        <v>0.38</v>
      </c>
      <c r="AF40" s="58">
        <v>0.38</v>
      </c>
      <c r="AG40" s="58">
        <v>0.4</v>
      </c>
      <c r="AH40" s="58">
        <v>0.38</v>
      </c>
      <c r="AI40" s="58">
        <v>0.37</v>
      </c>
      <c r="AJ40" s="58">
        <v>0.33</v>
      </c>
      <c r="AK40" s="58">
        <v>0.35</v>
      </c>
      <c r="AL40" s="57">
        <f t="shared" si="0"/>
        <v>0.35696969696969699</v>
      </c>
      <c r="AM40" s="34"/>
    </row>
    <row r="41" spans="1:39" ht="45" customHeight="1" x14ac:dyDescent="0.3">
      <c r="A41" s="59"/>
      <c r="B41" s="25" t="s">
        <v>496</v>
      </c>
      <c r="C41" s="14" t="s">
        <v>612</v>
      </c>
      <c r="D41" s="57">
        <v>0.45</v>
      </c>
      <c r="E41" s="58">
        <v>0.44</v>
      </c>
      <c r="F41" s="58">
        <v>0.45</v>
      </c>
      <c r="G41" s="58">
        <v>0.38</v>
      </c>
      <c r="H41" s="58">
        <v>0.4</v>
      </c>
      <c r="I41" s="58">
        <v>0.47</v>
      </c>
      <c r="J41" s="58">
        <v>0.43</v>
      </c>
      <c r="K41" s="58">
        <v>0.48</v>
      </c>
      <c r="L41" s="58">
        <v>0.42</v>
      </c>
      <c r="M41" s="58">
        <v>0.4</v>
      </c>
      <c r="N41" s="58">
        <v>0.4</v>
      </c>
      <c r="O41" s="58">
        <v>0.46</v>
      </c>
      <c r="P41" s="58">
        <v>0.36</v>
      </c>
      <c r="Q41" s="58">
        <v>0.5</v>
      </c>
      <c r="R41" s="58">
        <v>0.4</v>
      </c>
      <c r="S41" s="58">
        <v>0.47</v>
      </c>
      <c r="T41" s="58">
        <v>0.44</v>
      </c>
      <c r="U41" s="58">
        <v>0.45</v>
      </c>
      <c r="V41" s="58">
        <v>0.38</v>
      </c>
      <c r="W41" s="58">
        <v>0.44</v>
      </c>
      <c r="X41" s="58">
        <v>0.38</v>
      </c>
      <c r="Y41" s="58">
        <v>0.42</v>
      </c>
      <c r="Z41" s="58">
        <v>0.44</v>
      </c>
      <c r="AA41" s="58">
        <v>0.47</v>
      </c>
      <c r="AB41" s="58">
        <v>0.36</v>
      </c>
      <c r="AC41" s="58">
        <v>0.42</v>
      </c>
      <c r="AD41" s="58">
        <v>0.44</v>
      </c>
      <c r="AE41" s="58">
        <v>0.45</v>
      </c>
      <c r="AF41" s="58">
        <v>0.42</v>
      </c>
      <c r="AG41" s="58">
        <v>0.46</v>
      </c>
      <c r="AH41" s="58">
        <v>0.42</v>
      </c>
      <c r="AI41" s="58">
        <v>0.48</v>
      </c>
      <c r="AJ41" s="58">
        <v>0.47</v>
      </c>
      <c r="AK41" s="58">
        <v>0.43</v>
      </c>
      <c r="AL41" s="57">
        <f t="shared" si="0"/>
        <v>0.43121212121212121</v>
      </c>
      <c r="AM41" s="34"/>
    </row>
    <row r="42" spans="1:39" ht="52.95" customHeight="1" x14ac:dyDescent="0.3">
      <c r="A42" s="59"/>
      <c r="B42" s="25" t="s">
        <v>613</v>
      </c>
      <c r="C42" s="14" t="s">
        <v>614</v>
      </c>
      <c r="D42" s="57">
        <v>0.39</v>
      </c>
      <c r="E42" s="58">
        <v>0.37</v>
      </c>
      <c r="F42" s="58">
        <v>0.41</v>
      </c>
      <c r="G42" s="58">
        <v>0.35</v>
      </c>
      <c r="H42" s="58">
        <v>0.36</v>
      </c>
      <c r="I42" s="58">
        <v>0.38</v>
      </c>
      <c r="J42" s="58">
        <v>0.4</v>
      </c>
      <c r="K42" s="58">
        <v>0.39</v>
      </c>
      <c r="L42" s="58">
        <v>0.38</v>
      </c>
      <c r="M42" s="58">
        <v>0.37</v>
      </c>
      <c r="N42" s="58">
        <v>0.38</v>
      </c>
      <c r="O42" s="58">
        <v>0.42</v>
      </c>
      <c r="P42" s="58">
        <v>0.31</v>
      </c>
      <c r="Q42" s="58">
        <v>0.41</v>
      </c>
      <c r="R42" s="58">
        <v>0.36</v>
      </c>
      <c r="S42" s="58">
        <v>0.41</v>
      </c>
      <c r="T42" s="58">
        <v>0.38</v>
      </c>
      <c r="U42" s="58">
        <v>0.35</v>
      </c>
      <c r="V42" s="58">
        <v>0.37</v>
      </c>
      <c r="W42" s="58">
        <v>0.36</v>
      </c>
      <c r="X42" s="58">
        <v>0.33</v>
      </c>
      <c r="Y42" s="58">
        <v>0.38</v>
      </c>
      <c r="Z42" s="58">
        <v>0.39</v>
      </c>
      <c r="AA42" s="58">
        <v>0.38</v>
      </c>
      <c r="AB42" s="58">
        <v>0.36</v>
      </c>
      <c r="AC42" s="58">
        <v>0.37</v>
      </c>
      <c r="AD42" s="58">
        <v>0.38</v>
      </c>
      <c r="AE42" s="58">
        <v>0.4</v>
      </c>
      <c r="AF42" s="58">
        <v>0.37</v>
      </c>
      <c r="AG42" s="58">
        <v>0.4</v>
      </c>
      <c r="AH42" s="58">
        <v>0.37</v>
      </c>
      <c r="AI42" s="58">
        <v>0.39</v>
      </c>
      <c r="AJ42" s="58">
        <v>0.39</v>
      </c>
      <c r="AK42" s="58">
        <v>0.39</v>
      </c>
      <c r="AL42" s="57">
        <f t="shared" si="0"/>
        <v>0.37757575757575762</v>
      </c>
      <c r="AM42" s="34"/>
    </row>
    <row r="43" spans="1:39" ht="45" customHeight="1" x14ac:dyDescent="0.3">
      <c r="A43" s="59"/>
      <c r="B43" s="25" t="s">
        <v>615</v>
      </c>
      <c r="C43" s="14" t="s">
        <v>616</v>
      </c>
      <c r="D43" s="57">
        <v>0.5</v>
      </c>
      <c r="E43" s="58">
        <v>0.42</v>
      </c>
      <c r="F43" s="58">
        <v>0.47</v>
      </c>
      <c r="G43" s="58">
        <v>0.44</v>
      </c>
      <c r="H43" s="58">
        <v>0.39</v>
      </c>
      <c r="I43" s="58">
        <v>0.46</v>
      </c>
      <c r="J43" s="58">
        <v>0.42</v>
      </c>
      <c r="K43" s="58">
        <v>0.47</v>
      </c>
      <c r="L43" s="58">
        <v>0.45</v>
      </c>
      <c r="M43" s="58">
        <v>0.39</v>
      </c>
      <c r="N43" s="58">
        <v>0.45</v>
      </c>
      <c r="O43" s="58">
        <v>0.51</v>
      </c>
      <c r="P43" s="58">
        <v>0.4</v>
      </c>
      <c r="Q43" s="58">
        <v>0.53</v>
      </c>
      <c r="R43" s="58">
        <v>0.43</v>
      </c>
      <c r="S43" s="58">
        <v>0.48</v>
      </c>
      <c r="T43" s="58">
        <v>0.5</v>
      </c>
      <c r="U43" s="58">
        <v>0.48</v>
      </c>
      <c r="V43" s="58">
        <v>0.46</v>
      </c>
      <c r="W43" s="58">
        <v>0.47</v>
      </c>
      <c r="X43" s="58">
        <v>0.42</v>
      </c>
      <c r="Y43" s="58">
        <v>0.45</v>
      </c>
      <c r="Z43" s="58">
        <v>0.42</v>
      </c>
      <c r="AA43" s="58">
        <v>0.46</v>
      </c>
      <c r="AB43" s="58">
        <v>0.4</v>
      </c>
      <c r="AC43" s="58">
        <v>0.5</v>
      </c>
      <c r="AD43" s="58">
        <v>0.46</v>
      </c>
      <c r="AE43" s="58">
        <v>0.49</v>
      </c>
      <c r="AF43" s="58">
        <v>0.48</v>
      </c>
      <c r="AG43" s="58">
        <v>0.5</v>
      </c>
      <c r="AH43" s="58">
        <v>0.41</v>
      </c>
      <c r="AI43" s="58">
        <v>0.47</v>
      </c>
      <c r="AJ43" s="58">
        <v>0.51</v>
      </c>
      <c r="AK43" s="58">
        <v>0.47</v>
      </c>
      <c r="AL43" s="57">
        <f t="shared" si="0"/>
        <v>0.45636363636363647</v>
      </c>
      <c r="AM43" s="34"/>
    </row>
    <row r="45" spans="1:39" x14ac:dyDescent="0.3">
      <c r="A45" s="35" t="s">
        <v>783</v>
      </c>
    </row>
    <row r="46" spans="1:39" ht="31.2" x14ac:dyDescent="0.3">
      <c r="A46" s="12" t="s">
        <v>479</v>
      </c>
      <c r="E46" s="12" t="str">
        <f>Districts_Setup!$B$4</f>
        <v>Ahmedabad</v>
      </c>
      <c r="F46" s="12" t="str">
        <f>Districts_Setup!$B$5</f>
        <v>Amreli</v>
      </c>
      <c r="G46" s="12" t="str">
        <f>Districts_Setup!$B$6</f>
        <v>Anand</v>
      </c>
      <c r="H46" s="12" t="str">
        <f>Districts_Setup!$B$7</f>
        <v>Aravalli</v>
      </c>
      <c r="I46" s="12" t="str">
        <f>Districts_Setup!$B$8</f>
        <v>Banaskantha</v>
      </c>
      <c r="J46" s="12" t="str">
        <f>Districts_Setup!$B$9</f>
        <v>Bharuch</v>
      </c>
      <c r="K46" s="12" t="str">
        <f>Districts_Setup!$B$10</f>
        <v>Bhavnagar</v>
      </c>
      <c r="L46" s="12" t="str">
        <f>Districts_Setup!$B$11</f>
        <v>Botad</v>
      </c>
      <c r="M46" s="12" t="str">
        <f>Districts_Setup!$B$12</f>
        <v>Chhota Udepur</v>
      </c>
      <c r="N46" s="12" t="str">
        <f>Districts_Setup!$B$13</f>
        <v>Dahod</v>
      </c>
      <c r="O46" s="12" t="str">
        <f>Districts_Setup!$B$14</f>
        <v>Dang</v>
      </c>
      <c r="P46" s="12" t="str">
        <f>Districts_Setup!$B$15</f>
        <v>Devbhoomi Dwarka</v>
      </c>
      <c r="Q46" s="12" t="str">
        <f>Districts_Setup!$B$16</f>
        <v>Gandhinagar</v>
      </c>
      <c r="R46" s="12" t="str">
        <f>Districts_Setup!$B$17</f>
        <v>Gir Somnath</v>
      </c>
      <c r="S46" s="12" t="str">
        <f>Districts_Setup!$B$18</f>
        <v>Jamnagar</v>
      </c>
      <c r="T46" s="12" t="str">
        <f>Districts_Setup!$B$19</f>
        <v>Junagadh</v>
      </c>
      <c r="U46" s="12" t="str">
        <f>Districts_Setup!$B$20</f>
        <v>Kutch</v>
      </c>
      <c r="V46" s="12" t="str">
        <f>Districts_Setup!$B$21</f>
        <v>Kheda</v>
      </c>
      <c r="W46" s="12" t="str">
        <f>Districts_Setup!$B$22</f>
        <v>Mahisagar</v>
      </c>
      <c r="X46" s="12" t="str">
        <f>Districts_Setup!$B$23</f>
        <v>Mehsana</v>
      </c>
      <c r="Y46" s="12" t="str">
        <f>Districts_Setup!$B$24</f>
        <v>Morbi</v>
      </c>
      <c r="Z46" s="12" t="str">
        <f>Districts_Setup!$B$25</f>
        <v>Narmada</v>
      </c>
      <c r="AA46" s="12" t="str">
        <f>Districts_Setup!$B$26</f>
        <v>Navsari</v>
      </c>
      <c r="AB46" s="12" t="str">
        <f>Districts_Setup!$B$27</f>
        <v>Panchmahal</v>
      </c>
      <c r="AC46" s="12" t="str">
        <f>Districts_Setup!$B$28</f>
        <v>Patan</v>
      </c>
      <c r="AD46" s="12" t="str">
        <f>Districts_Setup!$B$29</f>
        <v>Porbandar</v>
      </c>
      <c r="AE46" s="12" t="str">
        <f>Districts_Setup!$B$30</f>
        <v>Rajkot</v>
      </c>
      <c r="AF46" s="12" t="str">
        <f>Districts_Setup!$B$31</f>
        <v>Sabarkantha</v>
      </c>
      <c r="AG46" s="12" t="str">
        <f>Districts_Setup!$B$32</f>
        <v>Surat</v>
      </c>
      <c r="AH46" s="12" t="str">
        <f>Districts_Setup!$B$33</f>
        <v>Surendranagar</v>
      </c>
      <c r="AI46" s="12" t="str">
        <f>Districts_Setup!$B$34</f>
        <v>Tapi</v>
      </c>
      <c r="AJ46" s="12" t="str">
        <f>Districts_Setup!$B$35</f>
        <v>Vadodara</v>
      </c>
      <c r="AK46" s="12" t="str">
        <f>Districts_Setup!$B$36</f>
        <v>Valsad</v>
      </c>
      <c r="AL46" s="36" t="s">
        <v>518</v>
      </c>
    </row>
    <row r="47" spans="1:39" x14ac:dyDescent="0.3">
      <c r="A47" s="18" t="s">
        <v>485</v>
      </c>
      <c r="E47" s="57">
        <f t="shared" ref="E47:AK47" si="1">IFERROR(AVERAGE(E4:E4),0)</f>
        <v>0.48</v>
      </c>
      <c r="F47" s="57">
        <f t="shared" si="1"/>
        <v>0.5</v>
      </c>
      <c r="G47" s="57">
        <f t="shared" si="1"/>
        <v>0.48</v>
      </c>
      <c r="H47" s="57">
        <f t="shared" si="1"/>
        <v>0.44</v>
      </c>
      <c r="I47" s="57">
        <f t="shared" si="1"/>
        <v>0.51</v>
      </c>
      <c r="J47" s="57">
        <f t="shared" si="1"/>
        <v>0.51</v>
      </c>
      <c r="K47" s="57">
        <f t="shared" si="1"/>
        <v>0.53</v>
      </c>
      <c r="L47" s="57">
        <f t="shared" si="1"/>
        <v>0.48</v>
      </c>
      <c r="M47" s="57">
        <f t="shared" si="1"/>
        <v>0.43</v>
      </c>
      <c r="N47" s="57">
        <f t="shared" si="1"/>
        <v>0.4</v>
      </c>
      <c r="O47" s="57">
        <f t="shared" si="1"/>
        <v>0.44</v>
      </c>
      <c r="P47" s="57">
        <f t="shared" si="1"/>
        <v>0.54</v>
      </c>
      <c r="Q47" s="57">
        <f t="shared" si="1"/>
        <v>0.59</v>
      </c>
      <c r="R47" s="57">
        <f t="shared" si="1"/>
        <v>0.45</v>
      </c>
      <c r="S47" s="57">
        <f t="shared" si="1"/>
        <v>0.53</v>
      </c>
      <c r="T47" s="57">
        <f t="shared" si="1"/>
        <v>0.52</v>
      </c>
      <c r="U47" s="57">
        <f t="shared" si="1"/>
        <v>0.53</v>
      </c>
      <c r="V47" s="57">
        <f t="shared" si="1"/>
        <v>0.45</v>
      </c>
      <c r="W47" s="57">
        <f t="shared" si="1"/>
        <v>0.44</v>
      </c>
      <c r="X47" s="57">
        <f t="shared" si="1"/>
        <v>0.5</v>
      </c>
      <c r="Y47" s="57">
        <f t="shared" si="1"/>
        <v>0.49</v>
      </c>
      <c r="Z47" s="57">
        <f t="shared" si="1"/>
        <v>0.5</v>
      </c>
      <c r="AA47" s="57">
        <f t="shared" si="1"/>
        <v>0.53</v>
      </c>
      <c r="AB47" s="57">
        <f t="shared" si="1"/>
        <v>0.44</v>
      </c>
      <c r="AC47" s="57">
        <f t="shared" si="1"/>
        <v>0.48</v>
      </c>
      <c r="AD47" s="57">
        <f t="shared" si="1"/>
        <v>0.49</v>
      </c>
      <c r="AE47" s="57">
        <f t="shared" si="1"/>
        <v>0.53</v>
      </c>
      <c r="AF47" s="57">
        <f t="shared" si="1"/>
        <v>0.48</v>
      </c>
      <c r="AG47" s="57">
        <f t="shared" si="1"/>
        <v>0.56000000000000005</v>
      </c>
      <c r="AH47" s="57">
        <f t="shared" si="1"/>
        <v>0.46</v>
      </c>
      <c r="AI47" s="57">
        <f t="shared" si="1"/>
        <v>0.53</v>
      </c>
      <c r="AJ47" s="57">
        <f t="shared" si="1"/>
        <v>0.55000000000000004</v>
      </c>
      <c r="AK47" s="57">
        <f t="shared" si="1"/>
        <v>0.5</v>
      </c>
      <c r="AL47" s="60">
        <f>IFERROR(AVERAGE(D4:D4),0)</f>
        <v>0.54</v>
      </c>
    </row>
    <row r="48" spans="1:39" x14ac:dyDescent="0.3">
      <c r="A48" s="18" t="s">
        <v>493</v>
      </c>
      <c r="E48" s="57">
        <f t="shared" ref="E48:AK48" si="2">IFERROR(AVERAGE(E5:E16),0)</f>
        <v>0.31666666666666665</v>
      </c>
      <c r="F48" s="57">
        <f t="shared" si="2"/>
        <v>0.29166666666666663</v>
      </c>
      <c r="G48" s="57">
        <f t="shared" si="2"/>
        <v>0.31</v>
      </c>
      <c r="H48" s="57">
        <f t="shared" si="2"/>
        <v>0.29666666666666669</v>
      </c>
      <c r="I48" s="57">
        <f t="shared" si="2"/>
        <v>0.3066666666666667</v>
      </c>
      <c r="J48" s="57">
        <f t="shared" si="2"/>
        <v>0.32</v>
      </c>
      <c r="K48" s="57">
        <f t="shared" si="2"/>
        <v>0.31749999999999995</v>
      </c>
      <c r="L48" s="57">
        <f t="shared" si="2"/>
        <v>0.28833333333333333</v>
      </c>
      <c r="M48" s="57">
        <f t="shared" si="2"/>
        <v>0.28916666666666668</v>
      </c>
      <c r="N48" s="57">
        <f t="shared" si="2"/>
        <v>0.28166666666666668</v>
      </c>
      <c r="O48" s="57">
        <f t="shared" si="2"/>
        <v>0.26166666666666666</v>
      </c>
      <c r="P48" s="57">
        <f t="shared" si="2"/>
        <v>0.32166666666666666</v>
      </c>
      <c r="Q48" s="57">
        <f t="shared" si="2"/>
        <v>0.35333333333333333</v>
      </c>
      <c r="R48" s="57">
        <f t="shared" si="2"/>
        <v>0.29833333333333328</v>
      </c>
      <c r="S48" s="57">
        <f t="shared" si="2"/>
        <v>0.32749999999999996</v>
      </c>
      <c r="T48" s="57">
        <f t="shared" si="2"/>
        <v>0.31583333333333335</v>
      </c>
      <c r="U48" s="57">
        <f t="shared" si="2"/>
        <v>0.32</v>
      </c>
      <c r="V48" s="57">
        <f t="shared" si="2"/>
        <v>0.28333333333333338</v>
      </c>
      <c r="W48" s="57">
        <f t="shared" si="2"/>
        <v>0.29833333333333334</v>
      </c>
      <c r="X48" s="57">
        <f t="shared" si="2"/>
        <v>0.30833333333333335</v>
      </c>
      <c r="Y48" s="57">
        <f t="shared" si="2"/>
        <v>0.29666666666666669</v>
      </c>
      <c r="Z48" s="57">
        <f t="shared" si="2"/>
        <v>0.28333333333333338</v>
      </c>
      <c r="AA48" s="57">
        <f t="shared" si="2"/>
        <v>0.33083333333333337</v>
      </c>
      <c r="AB48" s="57">
        <f t="shared" si="2"/>
        <v>0.28583333333333333</v>
      </c>
      <c r="AC48" s="57">
        <f t="shared" si="2"/>
        <v>0.30750000000000005</v>
      </c>
      <c r="AD48" s="57">
        <f t="shared" si="2"/>
        <v>0.3</v>
      </c>
      <c r="AE48" s="57">
        <f t="shared" si="2"/>
        <v>0.32500000000000001</v>
      </c>
      <c r="AF48" s="57">
        <f t="shared" si="2"/>
        <v>0.3116666666666667</v>
      </c>
      <c r="AG48" s="57">
        <f t="shared" si="2"/>
        <v>0.34083333333333332</v>
      </c>
      <c r="AH48" s="57">
        <f t="shared" si="2"/>
        <v>0.30249999999999999</v>
      </c>
      <c r="AI48" s="57">
        <f t="shared" si="2"/>
        <v>0.3041666666666667</v>
      </c>
      <c r="AJ48" s="57">
        <f t="shared" si="2"/>
        <v>0.34166666666666662</v>
      </c>
      <c r="AK48" s="57">
        <f t="shared" si="2"/>
        <v>0.31</v>
      </c>
      <c r="AL48" s="60">
        <f>IFERROR(AVERAGE(D5:D16),0)</f>
        <v>0.36166666666666664</v>
      </c>
    </row>
    <row r="49" spans="1:38" x14ac:dyDescent="0.3">
      <c r="A49" s="18" t="s">
        <v>579</v>
      </c>
      <c r="E49" s="57">
        <f t="shared" ref="E49:AK49" si="3">IFERROR(AVERAGE(E17:E28),0)</f>
        <v>0.37083333333333335</v>
      </c>
      <c r="F49" s="57">
        <f t="shared" si="3"/>
        <v>0.36916666666666664</v>
      </c>
      <c r="G49" s="57">
        <f t="shared" si="3"/>
        <v>0.36000000000000004</v>
      </c>
      <c r="H49" s="57">
        <f t="shared" si="3"/>
        <v>0.34666666666666668</v>
      </c>
      <c r="I49" s="57">
        <f t="shared" si="3"/>
        <v>0.36000000000000004</v>
      </c>
      <c r="J49" s="57">
        <f t="shared" si="3"/>
        <v>0.38000000000000006</v>
      </c>
      <c r="K49" s="57">
        <f t="shared" si="3"/>
        <v>0.3758333333333333</v>
      </c>
      <c r="L49" s="57">
        <f t="shared" si="3"/>
        <v>0.36083333333333334</v>
      </c>
      <c r="M49" s="57">
        <f t="shared" si="3"/>
        <v>0.33916666666666662</v>
      </c>
      <c r="N49" s="57">
        <f t="shared" si="3"/>
        <v>0.32666666666666672</v>
      </c>
      <c r="O49" s="57">
        <f t="shared" si="3"/>
        <v>0.38000000000000006</v>
      </c>
      <c r="P49" s="57">
        <f t="shared" si="3"/>
        <v>0.29916666666666675</v>
      </c>
      <c r="Q49" s="57">
        <f t="shared" si="3"/>
        <v>0.42333333333333328</v>
      </c>
      <c r="R49" s="57">
        <f t="shared" si="3"/>
        <v>0.34999999999999992</v>
      </c>
      <c r="S49" s="57">
        <f t="shared" si="3"/>
        <v>0.38833333333333336</v>
      </c>
      <c r="T49" s="57">
        <f t="shared" si="3"/>
        <v>0.38500000000000006</v>
      </c>
      <c r="U49" s="57">
        <f t="shared" si="3"/>
        <v>0.3758333333333333</v>
      </c>
      <c r="V49" s="57">
        <f t="shared" si="3"/>
        <v>0.33916666666666662</v>
      </c>
      <c r="W49" s="57">
        <f t="shared" si="3"/>
        <v>0.36083333333333334</v>
      </c>
      <c r="X49" s="57">
        <f t="shared" si="3"/>
        <v>0.34833333333333333</v>
      </c>
      <c r="Y49" s="57">
        <f t="shared" si="3"/>
        <v>0.36000000000000004</v>
      </c>
      <c r="Z49" s="57">
        <f t="shared" si="3"/>
        <v>0.35666666666666669</v>
      </c>
      <c r="AA49" s="57">
        <f t="shared" si="3"/>
        <v>0.38666666666666671</v>
      </c>
      <c r="AB49" s="57">
        <f t="shared" si="3"/>
        <v>0.34583333333333327</v>
      </c>
      <c r="AC49" s="57">
        <f t="shared" si="3"/>
        <v>0.36749999999999999</v>
      </c>
      <c r="AD49" s="57">
        <f t="shared" si="3"/>
        <v>0.35749999999999998</v>
      </c>
      <c r="AE49" s="57">
        <f t="shared" si="3"/>
        <v>0.38500000000000001</v>
      </c>
      <c r="AF49" s="57">
        <f t="shared" si="3"/>
        <v>0.35333333333333344</v>
      </c>
      <c r="AG49" s="57">
        <f t="shared" si="3"/>
        <v>0.39999999999999997</v>
      </c>
      <c r="AH49" s="57">
        <f t="shared" si="3"/>
        <v>0.34499999999999997</v>
      </c>
      <c r="AI49" s="57">
        <f t="shared" si="3"/>
        <v>0.37833333333333324</v>
      </c>
      <c r="AJ49" s="57">
        <f t="shared" si="3"/>
        <v>0.40833333333333327</v>
      </c>
      <c r="AK49" s="57">
        <f t="shared" si="3"/>
        <v>0.37999999999999995</v>
      </c>
      <c r="AL49" s="60">
        <f>IFERROR(AVERAGE(D17:D28),0)</f>
        <v>0.39999999999999997</v>
      </c>
    </row>
    <row r="50" spans="1:38" x14ac:dyDescent="0.3">
      <c r="A50" s="18" t="s">
        <v>593</v>
      </c>
      <c r="E50" s="57">
        <f t="shared" ref="E50:AK50" si="4">IFERROR(AVERAGE(E29:E43),0)</f>
        <v>0.3706666666666667</v>
      </c>
      <c r="F50" s="57">
        <f t="shared" si="4"/>
        <v>0.38466666666666671</v>
      </c>
      <c r="G50" s="57">
        <f t="shared" si="4"/>
        <v>0.36133333333333334</v>
      </c>
      <c r="H50" s="57">
        <f t="shared" si="4"/>
        <v>0.34733333333333333</v>
      </c>
      <c r="I50" s="57">
        <f t="shared" si="4"/>
        <v>0.378</v>
      </c>
      <c r="J50" s="57">
        <f t="shared" si="4"/>
        <v>0.37533333333333335</v>
      </c>
      <c r="K50" s="57">
        <f t="shared" si="4"/>
        <v>0.40466666666666656</v>
      </c>
      <c r="L50" s="57">
        <f t="shared" si="4"/>
        <v>0.36800000000000005</v>
      </c>
      <c r="M50" s="57">
        <f t="shared" si="4"/>
        <v>0.34933333333333333</v>
      </c>
      <c r="N50" s="57">
        <f t="shared" si="4"/>
        <v>0.35666666666666669</v>
      </c>
      <c r="O50" s="57">
        <f t="shared" si="4"/>
        <v>0.40533333333333332</v>
      </c>
      <c r="P50" s="57">
        <f t="shared" si="4"/>
        <v>0.32066666666666671</v>
      </c>
      <c r="Q50" s="57">
        <f t="shared" si="4"/>
        <v>0.43000000000000005</v>
      </c>
      <c r="R50" s="57">
        <f t="shared" si="4"/>
        <v>0.36066666666666675</v>
      </c>
      <c r="S50" s="57">
        <f t="shared" si="4"/>
        <v>0.39599999999999996</v>
      </c>
      <c r="T50" s="57">
        <f t="shared" si="4"/>
        <v>0.39800000000000002</v>
      </c>
      <c r="U50" s="57">
        <f t="shared" si="4"/>
        <v>0.38466666666666666</v>
      </c>
      <c r="V50" s="57">
        <f t="shared" si="4"/>
        <v>0.34333333333333338</v>
      </c>
      <c r="W50" s="57">
        <f t="shared" si="4"/>
        <v>0.378</v>
      </c>
      <c r="X50" s="57">
        <f t="shared" si="4"/>
        <v>0.33400000000000002</v>
      </c>
      <c r="Y50" s="57">
        <f t="shared" si="4"/>
        <v>0.372</v>
      </c>
      <c r="Z50" s="57">
        <f t="shared" si="4"/>
        <v>0.36400000000000005</v>
      </c>
      <c r="AA50" s="57">
        <f t="shared" si="4"/>
        <v>0.40133333333333338</v>
      </c>
      <c r="AB50" s="57">
        <f t="shared" si="4"/>
        <v>0.34800000000000003</v>
      </c>
      <c r="AC50" s="57">
        <f t="shared" si="4"/>
        <v>0.37666666666666665</v>
      </c>
      <c r="AD50" s="57">
        <f t="shared" si="4"/>
        <v>0.372</v>
      </c>
      <c r="AE50" s="57">
        <f t="shared" si="4"/>
        <v>0.40133333333333338</v>
      </c>
      <c r="AF50" s="57">
        <f t="shared" si="4"/>
        <v>0.37266666666666665</v>
      </c>
      <c r="AG50" s="57">
        <f t="shared" si="4"/>
        <v>0.41733333333333339</v>
      </c>
      <c r="AH50" s="57">
        <f t="shared" si="4"/>
        <v>0.35599999999999998</v>
      </c>
      <c r="AI50" s="57">
        <f t="shared" si="4"/>
        <v>0.39066666666666661</v>
      </c>
      <c r="AJ50" s="57">
        <f t="shared" si="4"/>
        <v>0.41466666666666663</v>
      </c>
      <c r="AK50" s="57">
        <f t="shared" si="4"/>
        <v>0.38399999999999995</v>
      </c>
      <c r="AL50" s="60">
        <f>IFERROR(AVERAGE(D29:D43),0)</f>
        <v>0.40266666666666667</v>
      </c>
    </row>
    <row r="51" spans="1:38" s="63" customFormat="1" ht="46.8" x14ac:dyDescent="0.3">
      <c r="A51" s="41" t="s">
        <v>617</v>
      </c>
      <c r="E51" s="61">
        <f t="shared" ref="E51:AL51" si="5">IFERROR(AVERAGE(E47:E50),0)</f>
        <v>0.38454166666666667</v>
      </c>
      <c r="F51" s="61">
        <f t="shared" si="5"/>
        <v>0.38637499999999997</v>
      </c>
      <c r="G51" s="61">
        <f t="shared" si="5"/>
        <v>0.37783333333333335</v>
      </c>
      <c r="H51" s="61">
        <f t="shared" si="5"/>
        <v>0.35766666666666669</v>
      </c>
      <c r="I51" s="61">
        <f t="shared" si="5"/>
        <v>0.38866666666666672</v>
      </c>
      <c r="J51" s="61">
        <f t="shared" si="5"/>
        <v>0.39633333333333337</v>
      </c>
      <c r="K51" s="61">
        <f t="shared" si="5"/>
        <v>0.40699999999999992</v>
      </c>
      <c r="L51" s="61">
        <f t="shared" si="5"/>
        <v>0.37429166666666669</v>
      </c>
      <c r="M51" s="61">
        <f t="shared" si="5"/>
        <v>0.35191666666666666</v>
      </c>
      <c r="N51" s="61">
        <f t="shared" si="5"/>
        <v>0.34125</v>
      </c>
      <c r="O51" s="61">
        <f t="shared" si="5"/>
        <v>0.37175000000000002</v>
      </c>
      <c r="P51" s="61">
        <f t="shared" si="5"/>
        <v>0.37037500000000001</v>
      </c>
      <c r="Q51" s="61">
        <f t="shared" si="5"/>
        <v>0.44916666666666671</v>
      </c>
      <c r="R51" s="61">
        <f t="shared" si="5"/>
        <v>0.36474999999999996</v>
      </c>
      <c r="S51" s="61">
        <f t="shared" si="5"/>
        <v>0.41045833333333331</v>
      </c>
      <c r="T51" s="61">
        <f t="shared" si="5"/>
        <v>0.40470833333333334</v>
      </c>
      <c r="U51" s="61">
        <f t="shared" si="5"/>
        <v>0.40262500000000001</v>
      </c>
      <c r="V51" s="61">
        <f t="shared" si="5"/>
        <v>0.35395833333333337</v>
      </c>
      <c r="W51" s="61">
        <f t="shared" si="5"/>
        <v>0.36929166666666668</v>
      </c>
      <c r="X51" s="61">
        <f t="shared" si="5"/>
        <v>0.3726666666666667</v>
      </c>
      <c r="Y51" s="61">
        <f t="shared" si="5"/>
        <v>0.37966666666666671</v>
      </c>
      <c r="Z51" s="61">
        <f t="shared" si="5"/>
        <v>0.37600000000000006</v>
      </c>
      <c r="AA51" s="61">
        <f t="shared" si="5"/>
        <v>0.41220833333333334</v>
      </c>
      <c r="AB51" s="61">
        <f t="shared" si="5"/>
        <v>0.35491666666666666</v>
      </c>
      <c r="AC51" s="61">
        <f t="shared" si="5"/>
        <v>0.38291666666666668</v>
      </c>
      <c r="AD51" s="61">
        <f t="shared" si="5"/>
        <v>0.37987499999999996</v>
      </c>
      <c r="AE51" s="61">
        <f t="shared" si="5"/>
        <v>0.41033333333333333</v>
      </c>
      <c r="AF51" s="61">
        <f t="shared" si="5"/>
        <v>0.37941666666666674</v>
      </c>
      <c r="AG51" s="61">
        <f t="shared" si="5"/>
        <v>0.42954166666666665</v>
      </c>
      <c r="AH51" s="61">
        <f t="shared" si="5"/>
        <v>0.36587499999999995</v>
      </c>
      <c r="AI51" s="61">
        <f t="shared" si="5"/>
        <v>0.40079166666666666</v>
      </c>
      <c r="AJ51" s="61">
        <f t="shared" si="5"/>
        <v>0.42866666666666664</v>
      </c>
      <c r="AK51" s="61">
        <f t="shared" si="5"/>
        <v>0.39349999999999996</v>
      </c>
      <c r="AL51" s="62">
        <f t="shared" si="5"/>
        <v>0.42608333333333331</v>
      </c>
    </row>
  </sheetData>
  <mergeCells count="2">
    <mergeCell ref="A1:AM1"/>
    <mergeCell ref="A2:AM2"/>
  </mergeCells>
  <conditionalFormatting sqref="E47:AK50">
    <cfRule type="colorScale" priority="2">
      <colorScale>
        <cfvo type="min"/>
        <cfvo type="percentile" val="50"/>
        <cfvo type="max"/>
        <color rgb="FFF4CCCC"/>
        <color rgb="FFFFF2CC"/>
        <color rgb="FFD9EAD3"/>
      </colorScale>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J36"/>
  <sheetViews>
    <sheetView showGridLines="0" topLeftCell="C1" zoomScaleNormal="100" workbookViewId="0">
      <selection activeCell="B4" sqref="B4:J36"/>
    </sheetView>
  </sheetViews>
  <sheetFormatPr defaultColWidth="8.6640625" defaultRowHeight="15.6" x14ac:dyDescent="0.3"/>
  <cols>
    <col min="1" max="1" width="18" style="11" customWidth="1"/>
    <col min="2" max="10" width="23" style="11" customWidth="1"/>
    <col min="11" max="16384" width="8.6640625" style="11"/>
  </cols>
  <sheetData>
    <row r="1" spans="1:10" ht="25.5" customHeight="1" x14ac:dyDescent="0.3">
      <c r="A1" s="92" t="s">
        <v>784</v>
      </c>
      <c r="B1" s="92"/>
      <c r="C1" s="92"/>
      <c r="D1" s="92"/>
      <c r="E1" s="92"/>
      <c r="F1" s="92"/>
      <c r="G1" s="92"/>
      <c r="H1" s="92"/>
      <c r="I1" s="92"/>
      <c r="J1" s="92"/>
    </row>
    <row r="2" spans="1:10" x14ac:dyDescent="0.3">
      <c r="A2" s="80" t="s">
        <v>618</v>
      </c>
      <c r="B2" s="80"/>
      <c r="C2" s="80"/>
      <c r="D2" s="80"/>
      <c r="E2" s="80"/>
      <c r="F2" s="80"/>
      <c r="G2" s="80"/>
      <c r="H2" s="80"/>
      <c r="I2" s="80"/>
      <c r="J2" s="80"/>
    </row>
    <row r="3" spans="1:10" ht="31.2" x14ac:dyDescent="0.3">
      <c r="A3" s="64" t="s">
        <v>619</v>
      </c>
      <c r="B3" s="64" t="s">
        <v>620</v>
      </c>
      <c r="C3" s="64" t="s">
        <v>621</v>
      </c>
      <c r="D3" s="64" t="s">
        <v>622</v>
      </c>
      <c r="E3" s="64" t="s">
        <v>623</v>
      </c>
      <c r="F3" s="64" t="s">
        <v>786</v>
      </c>
      <c r="G3" s="64" t="s">
        <v>625</v>
      </c>
      <c r="H3" s="64" t="s">
        <v>626</v>
      </c>
      <c r="I3" s="64" t="s">
        <v>627</v>
      </c>
      <c r="J3" s="64" t="s">
        <v>628</v>
      </c>
    </row>
    <row r="4" spans="1:10" ht="15.75" customHeight="1" x14ac:dyDescent="0.3">
      <c r="A4" s="18" t="str">
        <f>Districts_Setup!$B$4</f>
        <v>Ahmedabad</v>
      </c>
      <c r="B4" s="57">
        <f>IFERROR(AVERAGE(PARAKH_Foundational_G3!E4:E6),0)</f>
        <v>0.59</v>
      </c>
      <c r="C4" s="57">
        <f>IFERROR(AVERAGE(PARAKH_Foundational_G3!E7:E18),0)</f>
        <v>0.53000000000000014</v>
      </c>
      <c r="D4" s="57">
        <f>IFERROR(AVERAGE(PARAKH_Preparatory_G6!E4:E5),0)</f>
        <v>0.51500000000000001</v>
      </c>
      <c r="E4" s="57">
        <f>IFERROR(AVERAGE(PARAKH_Preparatory_G6!E6:E15),0)</f>
        <v>0.38800000000000001</v>
      </c>
      <c r="F4" s="57">
        <f>IFERROR(AVERAGE(PARAKH_Preparatory_G6!E16:E26),0)</f>
        <v>0.45545454545454545</v>
      </c>
      <c r="G4" s="57">
        <f>IFERROR(AVERAGE(PARAKH_Middle_G9!E4:E4),0)</f>
        <v>0.48</v>
      </c>
      <c r="H4" s="57">
        <f>IFERROR(AVERAGE(PARAKH_Middle_G9!E5:E16),0)</f>
        <v>0.31666666666666665</v>
      </c>
      <c r="I4" s="57">
        <f>IFERROR(AVERAGE(PARAKH_Middle_G9!E17:E28),0)</f>
        <v>0.37083333333333335</v>
      </c>
      <c r="J4" s="57">
        <f>IFERROR(AVERAGE(PARAKH_Middle_G9!E29:E43),0)</f>
        <v>0.3706666666666667</v>
      </c>
    </row>
    <row r="5" spans="1:10" ht="15.75" customHeight="1" x14ac:dyDescent="0.3">
      <c r="A5" s="18" t="str">
        <f>Districts_Setup!$B$5</f>
        <v>Amreli</v>
      </c>
      <c r="B5" s="57">
        <f>IFERROR(AVERAGE(PARAKH_Foundational_G3!F4:F6),0)</f>
        <v>0.54666666666666663</v>
      </c>
      <c r="C5" s="57">
        <f>IFERROR(AVERAGE(PARAKH_Foundational_G3!F7:F18),0)</f>
        <v>0.48749999999999999</v>
      </c>
      <c r="D5" s="57">
        <f>IFERROR(AVERAGE(PARAKH_Preparatory_G6!F4:F5),0)</f>
        <v>0.48</v>
      </c>
      <c r="E5" s="57">
        <f>IFERROR(AVERAGE(PARAKH_Preparatory_G6!F6:F15),0)</f>
        <v>0.33200000000000002</v>
      </c>
      <c r="F5" s="57">
        <f>IFERROR(AVERAGE(PARAKH_Preparatory_G6!F16:F26),0)</f>
        <v>0.40727272727272729</v>
      </c>
      <c r="G5" s="57">
        <f>IFERROR(AVERAGE(PARAKH_Middle_G9!F4:F4),0)</f>
        <v>0.5</v>
      </c>
      <c r="H5" s="57">
        <f>IFERROR(AVERAGE(PARAKH_Middle_G9!F5:F16),0)</f>
        <v>0.29166666666666663</v>
      </c>
      <c r="I5" s="57">
        <f>IFERROR(AVERAGE(PARAKH_Middle_G9!F17:F28),0)</f>
        <v>0.36916666666666664</v>
      </c>
      <c r="J5" s="57">
        <f>IFERROR(AVERAGE(PARAKH_Middle_G9!F29:F43),0)</f>
        <v>0.38466666666666671</v>
      </c>
    </row>
    <row r="6" spans="1:10" ht="15.75" customHeight="1" x14ac:dyDescent="0.3">
      <c r="A6" s="18" t="str">
        <f>Districts_Setup!$B$6</f>
        <v>Anand</v>
      </c>
      <c r="B6" s="57">
        <f>IFERROR(AVERAGE(PARAKH_Foundational_G3!G4:G6),0)</f>
        <v>0.57333333333333336</v>
      </c>
      <c r="C6" s="57">
        <f>IFERROR(AVERAGE(PARAKH_Foundational_G3!G7:G18),0)</f>
        <v>0.49833333333333335</v>
      </c>
      <c r="D6" s="57">
        <f>IFERROR(AVERAGE(PARAKH_Preparatory_G6!G4:G5),0)</f>
        <v>0.53500000000000003</v>
      </c>
      <c r="E6" s="57">
        <f>IFERROR(AVERAGE(PARAKH_Preparatory_G6!G6:G15),0)</f>
        <v>0.39499999999999996</v>
      </c>
      <c r="F6" s="57">
        <f>IFERROR(AVERAGE(PARAKH_Preparatory_G6!G16:G26),0)</f>
        <v>0.45818181818181819</v>
      </c>
      <c r="G6" s="57">
        <f>IFERROR(AVERAGE(PARAKH_Middle_G9!G4:G4),0)</f>
        <v>0.48</v>
      </c>
      <c r="H6" s="57">
        <f>IFERROR(AVERAGE(PARAKH_Middle_G9!G5:G16),0)</f>
        <v>0.31</v>
      </c>
      <c r="I6" s="57">
        <f>IFERROR(AVERAGE(PARAKH_Middle_G9!G17:G28),0)</f>
        <v>0.36000000000000004</v>
      </c>
      <c r="J6" s="57">
        <f>IFERROR(AVERAGE(PARAKH_Middle_G9!G29:G43),0)</f>
        <v>0.36133333333333334</v>
      </c>
    </row>
    <row r="7" spans="1:10" ht="15.75" customHeight="1" x14ac:dyDescent="0.3">
      <c r="A7" s="18" t="str">
        <f>Districts_Setup!$B$7</f>
        <v>Aravalli</v>
      </c>
      <c r="B7" s="57">
        <f>IFERROR(AVERAGE(PARAKH_Foundational_G3!H4:H6),0)</f>
        <v>0.51</v>
      </c>
      <c r="C7" s="57">
        <f>IFERROR(AVERAGE(PARAKH_Foundational_G3!H7:H18),0)</f>
        <v>0.46583333333333332</v>
      </c>
      <c r="D7" s="57">
        <f>IFERROR(AVERAGE(PARAKH_Preparatory_G6!H4:H5),0)</f>
        <v>0.49</v>
      </c>
      <c r="E7" s="57">
        <f>IFERROR(AVERAGE(PARAKH_Preparatory_G6!H6:H15),0)</f>
        <v>0.36199999999999999</v>
      </c>
      <c r="F7" s="57">
        <f>IFERROR(AVERAGE(PARAKH_Preparatory_G6!H16:H26),0)</f>
        <v>0.42454545454545456</v>
      </c>
      <c r="G7" s="57">
        <f>IFERROR(AVERAGE(PARAKH_Middle_G9!H4:H4),0)</f>
        <v>0.44</v>
      </c>
      <c r="H7" s="57">
        <f>IFERROR(AVERAGE(PARAKH_Middle_G9!H5:H16),0)</f>
        <v>0.29666666666666669</v>
      </c>
      <c r="I7" s="57">
        <f>IFERROR(AVERAGE(PARAKH_Middle_G9!H17:H28),0)</f>
        <v>0.34666666666666668</v>
      </c>
      <c r="J7" s="57">
        <f>IFERROR(AVERAGE(PARAKH_Middle_G9!H29:H43),0)</f>
        <v>0.34733333333333333</v>
      </c>
    </row>
    <row r="8" spans="1:10" ht="15.75" customHeight="1" x14ac:dyDescent="0.3">
      <c r="A8" s="18" t="str">
        <f>Districts_Setup!$B$8</f>
        <v>Banaskantha</v>
      </c>
      <c r="B8" s="57">
        <f>IFERROR(AVERAGE(PARAKH_Foundational_G3!I4:I6),0)</f>
        <v>0.53666666666666663</v>
      </c>
      <c r="C8" s="57">
        <f>IFERROR(AVERAGE(PARAKH_Foundational_G3!I7:I18),0)</f>
        <v>0.48083333333333328</v>
      </c>
      <c r="D8" s="57">
        <f>IFERROR(AVERAGE(PARAKH_Preparatory_G6!I4:I5),0)</f>
        <v>0.52500000000000002</v>
      </c>
      <c r="E8" s="57">
        <f>IFERROR(AVERAGE(PARAKH_Preparatory_G6!I6:I15),0)</f>
        <v>0.3829999999999999</v>
      </c>
      <c r="F8" s="57">
        <f>IFERROR(AVERAGE(PARAKH_Preparatory_G6!I16:I26),0)</f>
        <v>0.45454545454545453</v>
      </c>
      <c r="G8" s="57">
        <f>IFERROR(AVERAGE(PARAKH_Middle_G9!I4:I4),0)</f>
        <v>0.51</v>
      </c>
      <c r="H8" s="57">
        <f>IFERROR(AVERAGE(PARAKH_Middle_G9!I5:I16),0)</f>
        <v>0.3066666666666667</v>
      </c>
      <c r="I8" s="57">
        <f>IFERROR(AVERAGE(PARAKH_Middle_G9!I17:I28),0)</f>
        <v>0.36000000000000004</v>
      </c>
      <c r="J8" s="57">
        <f>IFERROR(AVERAGE(PARAKH_Middle_G9!I29:I43),0)</f>
        <v>0.378</v>
      </c>
    </row>
    <row r="9" spans="1:10" ht="15.75" customHeight="1" x14ac:dyDescent="0.3">
      <c r="A9" s="18" t="str">
        <f>Districts_Setup!$B$9</f>
        <v>Bharuch</v>
      </c>
      <c r="B9" s="57">
        <f>IFERROR(AVERAGE(PARAKH_Foundational_G3!J4:J6),0)</f>
        <v>0.57666666666666666</v>
      </c>
      <c r="C9" s="57">
        <f>IFERROR(AVERAGE(PARAKH_Foundational_G3!J7:J18),0)</f>
        <v>0.51416666666666677</v>
      </c>
      <c r="D9" s="57">
        <f>IFERROR(AVERAGE(PARAKH_Preparatory_G6!J4:J5),0)</f>
        <v>0.45499999999999996</v>
      </c>
      <c r="E9" s="57">
        <f>IFERROR(AVERAGE(PARAKH_Preparatory_G6!J6:J15),0)</f>
        <v>0.34799999999999998</v>
      </c>
      <c r="F9" s="57">
        <f>IFERROR(AVERAGE(PARAKH_Preparatory_G6!J16:J26),0)</f>
        <v>0.41636363636363638</v>
      </c>
      <c r="G9" s="57">
        <f>IFERROR(AVERAGE(PARAKH_Middle_G9!J4:J4),0)</f>
        <v>0.51</v>
      </c>
      <c r="H9" s="57">
        <f>IFERROR(AVERAGE(PARAKH_Middle_G9!J5:J16),0)</f>
        <v>0.32</v>
      </c>
      <c r="I9" s="57">
        <f>IFERROR(AVERAGE(PARAKH_Middle_G9!J17:J28),0)</f>
        <v>0.38000000000000006</v>
      </c>
      <c r="J9" s="57">
        <f>IFERROR(AVERAGE(PARAKH_Middle_G9!J29:J43),0)</f>
        <v>0.37533333333333335</v>
      </c>
    </row>
    <row r="10" spans="1:10" ht="15.75" customHeight="1" x14ac:dyDescent="0.3">
      <c r="A10" s="18" t="str">
        <f>Districts_Setup!$B$10</f>
        <v>Bhavnagar</v>
      </c>
      <c r="B10" s="57">
        <f>IFERROR(AVERAGE(PARAKH_Foundational_G3!K4:K6),0)</f>
        <v>0.62333333333333341</v>
      </c>
      <c r="C10" s="57">
        <f>IFERROR(AVERAGE(PARAKH_Foundational_G3!K7:K18),0)</f>
        <v>0.5541666666666667</v>
      </c>
      <c r="D10" s="57">
        <f>IFERROR(AVERAGE(PARAKH_Preparatory_G6!K4:K5),0)</f>
        <v>0.52500000000000002</v>
      </c>
      <c r="E10" s="57">
        <f>IFERROR(AVERAGE(PARAKH_Preparatory_G6!K6:K15),0)</f>
        <v>0.376</v>
      </c>
      <c r="F10" s="57">
        <f>IFERROR(AVERAGE(PARAKH_Preparatory_G6!K16:K26),0)</f>
        <v>0.45454545454545453</v>
      </c>
      <c r="G10" s="57">
        <f>IFERROR(AVERAGE(PARAKH_Middle_G9!K4:K4),0)</f>
        <v>0.53</v>
      </c>
      <c r="H10" s="57">
        <f>IFERROR(AVERAGE(PARAKH_Middle_G9!K5:K16),0)</f>
        <v>0.31749999999999995</v>
      </c>
      <c r="I10" s="57">
        <f>IFERROR(AVERAGE(PARAKH_Middle_G9!K17:K28),0)</f>
        <v>0.3758333333333333</v>
      </c>
      <c r="J10" s="57">
        <f>IFERROR(AVERAGE(PARAKH_Middle_G9!K29:K43),0)</f>
        <v>0.40466666666666656</v>
      </c>
    </row>
    <row r="11" spans="1:10" ht="15.75" customHeight="1" x14ac:dyDescent="0.3">
      <c r="A11" s="18" t="str">
        <f>Districts_Setup!$B$11</f>
        <v>Botad</v>
      </c>
      <c r="B11" s="57">
        <f>IFERROR(AVERAGE(PARAKH_Foundational_G3!L4:L6),0)</f>
        <v>0.57666666666666666</v>
      </c>
      <c r="C11" s="57">
        <f>IFERROR(AVERAGE(PARAKH_Foundational_G3!L7:L18),0)</f>
        <v>0.50583333333333325</v>
      </c>
      <c r="D11" s="57">
        <f>IFERROR(AVERAGE(PARAKH_Preparatory_G6!L4:L5),0)</f>
        <v>0.505</v>
      </c>
      <c r="E11" s="57">
        <f>IFERROR(AVERAGE(PARAKH_Preparatory_G6!L6:L15),0)</f>
        <v>0.36600000000000005</v>
      </c>
      <c r="F11" s="57">
        <f>IFERROR(AVERAGE(PARAKH_Preparatory_G6!L16:L26),0)</f>
        <v>0.42636363636363633</v>
      </c>
      <c r="G11" s="57">
        <f>IFERROR(AVERAGE(PARAKH_Middle_G9!L4:L4),0)</f>
        <v>0.48</v>
      </c>
      <c r="H11" s="57">
        <f>IFERROR(AVERAGE(PARAKH_Middle_G9!L5:L16),0)</f>
        <v>0.28833333333333333</v>
      </c>
      <c r="I11" s="57">
        <f>IFERROR(AVERAGE(PARAKH_Middle_G9!L17:L28),0)</f>
        <v>0.36083333333333334</v>
      </c>
      <c r="J11" s="57">
        <f>IFERROR(AVERAGE(PARAKH_Middle_G9!L29:L43),0)</f>
        <v>0.36800000000000005</v>
      </c>
    </row>
    <row r="12" spans="1:10" ht="15.75" customHeight="1" x14ac:dyDescent="0.3">
      <c r="A12" s="18" t="str">
        <f>Districts_Setup!$B$12</f>
        <v>Chhota Udepur</v>
      </c>
      <c r="B12" s="57">
        <f>IFERROR(AVERAGE(PARAKH_Foundational_G3!M4:M6),0)</f>
        <v>0.5033333333333333</v>
      </c>
      <c r="C12" s="57">
        <f>IFERROR(AVERAGE(PARAKH_Foundational_G3!M7:M18),0)</f>
        <v>0.45250000000000007</v>
      </c>
      <c r="D12" s="57">
        <f>IFERROR(AVERAGE(PARAKH_Preparatory_G6!M4:M5),0)</f>
        <v>0.45</v>
      </c>
      <c r="E12" s="57">
        <f>IFERROR(AVERAGE(PARAKH_Preparatory_G6!M6:M15),0)</f>
        <v>0.32500000000000001</v>
      </c>
      <c r="F12" s="57">
        <f>IFERROR(AVERAGE(PARAKH_Preparatory_G6!M16:M26),0)</f>
        <v>0.40636363636363643</v>
      </c>
      <c r="G12" s="57">
        <f>IFERROR(AVERAGE(PARAKH_Middle_G9!M4:M4),0)</f>
        <v>0.43</v>
      </c>
      <c r="H12" s="57">
        <f>IFERROR(AVERAGE(PARAKH_Middle_G9!M5:M16),0)</f>
        <v>0.28916666666666668</v>
      </c>
      <c r="I12" s="57">
        <f>IFERROR(AVERAGE(PARAKH_Middle_G9!M17:M28),0)</f>
        <v>0.33916666666666662</v>
      </c>
      <c r="J12" s="57">
        <f>IFERROR(AVERAGE(PARAKH_Middle_G9!M29:M43),0)</f>
        <v>0.34933333333333333</v>
      </c>
    </row>
    <row r="13" spans="1:10" ht="15.75" customHeight="1" x14ac:dyDescent="0.3">
      <c r="A13" s="18" t="str">
        <f>Districts_Setup!$B$13</f>
        <v>Dahod</v>
      </c>
      <c r="B13" s="57">
        <f>IFERROR(AVERAGE(PARAKH_Foundational_G3!N4:N6),0)</f>
        <v>0.59333333333333338</v>
      </c>
      <c r="C13" s="57">
        <f>IFERROR(AVERAGE(PARAKH_Foundational_G3!N7:N18),0)</f>
        <v>0.53166666666666673</v>
      </c>
      <c r="D13" s="57">
        <f>IFERROR(AVERAGE(PARAKH_Preparatory_G6!N4:N5),0)</f>
        <v>0.49</v>
      </c>
      <c r="E13" s="57">
        <f>IFERROR(AVERAGE(PARAKH_Preparatory_G6!N6:N15),0)</f>
        <v>0.39799999999999996</v>
      </c>
      <c r="F13" s="57">
        <f>IFERROR(AVERAGE(PARAKH_Preparatory_G6!N16:N26),0)</f>
        <v>0.46545454545454545</v>
      </c>
      <c r="G13" s="57">
        <f>IFERROR(AVERAGE(PARAKH_Middle_G9!N4:N4),0)</f>
        <v>0.4</v>
      </c>
      <c r="H13" s="57">
        <f>IFERROR(AVERAGE(PARAKH_Middle_G9!N5:N16),0)</f>
        <v>0.28166666666666668</v>
      </c>
      <c r="I13" s="57">
        <f>IFERROR(AVERAGE(PARAKH_Middle_G9!N17:N28),0)</f>
        <v>0.32666666666666672</v>
      </c>
      <c r="J13" s="57">
        <f>IFERROR(AVERAGE(PARAKH_Middle_G9!N29:N43),0)</f>
        <v>0.35666666666666669</v>
      </c>
    </row>
    <row r="14" spans="1:10" ht="15.75" customHeight="1" x14ac:dyDescent="0.3">
      <c r="A14" s="18" t="str">
        <f>Districts_Setup!$B$14</f>
        <v>Dang</v>
      </c>
      <c r="B14" s="57">
        <f>IFERROR(AVERAGE(PARAKH_Foundational_G3!O4:O6),0)</f>
        <v>0.59</v>
      </c>
      <c r="C14" s="57">
        <f>IFERROR(AVERAGE(PARAKH_Foundational_G3!O7:O18),0)</f>
        <v>0.54583333333333328</v>
      </c>
      <c r="D14" s="57">
        <f>IFERROR(AVERAGE(PARAKH_Preparatory_G6!O4:O5),0)</f>
        <v>0.54</v>
      </c>
      <c r="E14" s="57">
        <f>IFERROR(AVERAGE(PARAKH_Preparatory_G6!O6:O15),0)</f>
        <v>0.35699999999999998</v>
      </c>
      <c r="F14" s="57">
        <f>IFERROR(AVERAGE(PARAKH_Preparatory_G6!O16:O26),0)</f>
        <v>0.4745454545454546</v>
      </c>
      <c r="G14" s="57">
        <f>IFERROR(AVERAGE(PARAKH_Middle_G9!O4:O4),0)</f>
        <v>0.44</v>
      </c>
      <c r="H14" s="57">
        <f>IFERROR(AVERAGE(PARAKH_Middle_G9!O5:O16),0)</f>
        <v>0.26166666666666666</v>
      </c>
      <c r="I14" s="57">
        <f>IFERROR(AVERAGE(PARAKH_Middle_G9!O17:O28),0)</f>
        <v>0.38000000000000006</v>
      </c>
      <c r="J14" s="57">
        <f>IFERROR(AVERAGE(PARAKH_Middle_G9!O29:O43),0)</f>
        <v>0.40533333333333332</v>
      </c>
    </row>
    <row r="15" spans="1:10" ht="15.75" customHeight="1" x14ac:dyDescent="0.3">
      <c r="A15" s="18" t="str">
        <f>Districts_Setup!$B$15</f>
        <v>Devbhoomi Dwarka</v>
      </c>
      <c r="B15" s="57">
        <f>IFERROR(AVERAGE(PARAKH_Foundational_G3!P4:P6),0)</f>
        <v>0.56666666666666676</v>
      </c>
      <c r="C15" s="57">
        <f>IFERROR(AVERAGE(PARAKH_Foundational_G3!P7:P18),0)</f>
        <v>0.50583333333333347</v>
      </c>
      <c r="D15" s="57">
        <f>IFERROR(AVERAGE(PARAKH_Preparatory_G6!P4:P5),0)</f>
        <v>0.56000000000000005</v>
      </c>
      <c r="E15" s="57">
        <f>IFERROR(AVERAGE(PARAKH_Preparatory_G6!P6:P15),0)</f>
        <v>0.41200000000000003</v>
      </c>
      <c r="F15" s="57">
        <f>IFERROR(AVERAGE(PARAKH_Preparatory_G6!P16:P26),0)</f>
        <v>0.44636363636363635</v>
      </c>
      <c r="G15" s="57">
        <f>IFERROR(AVERAGE(PARAKH_Middle_G9!P4:P4),0)</f>
        <v>0.54</v>
      </c>
      <c r="H15" s="57">
        <f>IFERROR(AVERAGE(PARAKH_Middle_G9!P5:P16),0)</f>
        <v>0.32166666666666666</v>
      </c>
      <c r="I15" s="57">
        <f>IFERROR(AVERAGE(PARAKH_Middle_G9!P17:P28),0)</f>
        <v>0.29916666666666675</v>
      </c>
      <c r="J15" s="57">
        <f>IFERROR(AVERAGE(PARAKH_Middle_G9!P29:P43),0)</f>
        <v>0.32066666666666671</v>
      </c>
    </row>
    <row r="16" spans="1:10" ht="15.75" customHeight="1" x14ac:dyDescent="0.3">
      <c r="A16" s="18" t="str">
        <f>Districts_Setup!$B$16</f>
        <v>Gandhinagar</v>
      </c>
      <c r="B16" s="57">
        <f>IFERROR(AVERAGE(PARAKH_Foundational_G3!Q4:Q6),0)</f>
        <v>0.62666666666666659</v>
      </c>
      <c r="C16" s="57">
        <f>IFERROR(AVERAGE(PARAKH_Foundational_G3!Q7:Q18),0)</f>
        <v>0.57499999999999996</v>
      </c>
      <c r="D16" s="57">
        <f>IFERROR(AVERAGE(PARAKH_Preparatory_G6!Q4:Q5),0)</f>
        <v>0.54500000000000004</v>
      </c>
      <c r="E16" s="57">
        <f>IFERROR(AVERAGE(PARAKH_Preparatory_G6!Q6:Q15),0)</f>
        <v>0.41</v>
      </c>
      <c r="F16" s="57">
        <f>IFERROR(AVERAGE(PARAKH_Preparatory_G6!Q16:Q26),0)</f>
        <v>0.47818181818181815</v>
      </c>
      <c r="G16" s="57">
        <f>IFERROR(AVERAGE(PARAKH_Middle_G9!Q4:Q4),0)</f>
        <v>0.59</v>
      </c>
      <c r="H16" s="57">
        <f>IFERROR(AVERAGE(PARAKH_Middle_G9!Q5:Q16),0)</f>
        <v>0.35333333333333333</v>
      </c>
      <c r="I16" s="57">
        <f>IFERROR(AVERAGE(PARAKH_Middle_G9!Q17:Q28),0)</f>
        <v>0.42333333333333328</v>
      </c>
      <c r="J16" s="57">
        <f>IFERROR(AVERAGE(PARAKH_Middle_G9!Q29:Q43),0)</f>
        <v>0.43000000000000005</v>
      </c>
    </row>
    <row r="17" spans="1:10" ht="15.75" customHeight="1" x14ac:dyDescent="0.3">
      <c r="A17" s="18" t="str">
        <f>Districts_Setup!$B$17</f>
        <v>Gir Somnath</v>
      </c>
      <c r="B17" s="57">
        <f>IFERROR(AVERAGE(PARAKH_Foundational_G3!R4:R6),0)</f>
        <v>0.49333333333333335</v>
      </c>
      <c r="C17" s="57">
        <f>IFERROR(AVERAGE(PARAKH_Foundational_G3!R7:R18),0)</f>
        <v>0.435</v>
      </c>
      <c r="D17" s="57">
        <f>IFERROR(AVERAGE(PARAKH_Preparatory_G6!R4:R5),0)</f>
        <v>0.45499999999999996</v>
      </c>
      <c r="E17" s="57">
        <f>IFERROR(AVERAGE(PARAKH_Preparatory_G6!R6:R15),0)</f>
        <v>0.36899999999999994</v>
      </c>
      <c r="F17" s="57">
        <f>IFERROR(AVERAGE(PARAKH_Preparatory_G6!R16:R26),0)</f>
        <v>0.40818181818181815</v>
      </c>
      <c r="G17" s="57">
        <f>IFERROR(AVERAGE(PARAKH_Middle_G9!R4:R4),0)</f>
        <v>0.45</v>
      </c>
      <c r="H17" s="57">
        <f>IFERROR(AVERAGE(PARAKH_Middle_G9!R5:R16),0)</f>
        <v>0.29833333333333328</v>
      </c>
      <c r="I17" s="57">
        <f>IFERROR(AVERAGE(PARAKH_Middle_G9!R17:R28),0)</f>
        <v>0.34999999999999992</v>
      </c>
      <c r="J17" s="57">
        <f>IFERROR(AVERAGE(PARAKH_Middle_G9!R29:R43),0)</f>
        <v>0.36066666666666675</v>
      </c>
    </row>
    <row r="18" spans="1:10" ht="15.75" customHeight="1" x14ac:dyDescent="0.3">
      <c r="A18" s="18" t="str">
        <f>Districts_Setup!$B$18</f>
        <v>Jamnagar</v>
      </c>
      <c r="B18" s="57">
        <f>IFERROR(AVERAGE(PARAKH_Foundational_G3!S4:S6),0)</f>
        <v>0.47666666666666663</v>
      </c>
      <c r="C18" s="57">
        <f>IFERROR(AVERAGE(PARAKH_Foundational_G3!S7:S18),0)</f>
        <v>0.43083333333333323</v>
      </c>
      <c r="D18" s="57">
        <f>IFERROR(AVERAGE(PARAKH_Preparatory_G6!S4:S5),0)</f>
        <v>0.51</v>
      </c>
      <c r="E18" s="57">
        <f>IFERROR(AVERAGE(PARAKH_Preparatory_G6!S6:S15),0)</f>
        <v>0.376</v>
      </c>
      <c r="F18" s="57">
        <f>IFERROR(AVERAGE(PARAKH_Preparatory_G6!S16:S26),0)</f>
        <v>0.44272727272727275</v>
      </c>
      <c r="G18" s="57">
        <f>IFERROR(AVERAGE(PARAKH_Middle_G9!S4:S4),0)</f>
        <v>0.53</v>
      </c>
      <c r="H18" s="57">
        <f>IFERROR(AVERAGE(PARAKH_Middle_G9!S5:S16),0)</f>
        <v>0.32749999999999996</v>
      </c>
      <c r="I18" s="57">
        <f>IFERROR(AVERAGE(PARAKH_Middle_G9!S17:S28),0)</f>
        <v>0.38833333333333336</v>
      </c>
      <c r="J18" s="57">
        <f>IFERROR(AVERAGE(PARAKH_Middle_G9!S29:S43),0)</f>
        <v>0.39599999999999996</v>
      </c>
    </row>
    <row r="19" spans="1:10" ht="15.75" customHeight="1" x14ac:dyDescent="0.3">
      <c r="A19" s="18" t="str">
        <f>Districts_Setup!$B$19</f>
        <v>Junagadh</v>
      </c>
      <c r="B19" s="57">
        <f>IFERROR(AVERAGE(PARAKH_Foundational_G3!T4:T6),0)</f>
        <v>0.56666666666666654</v>
      </c>
      <c r="C19" s="57">
        <f>IFERROR(AVERAGE(PARAKH_Foundational_G3!T7:T18),0)</f>
        <v>0.49</v>
      </c>
      <c r="D19" s="57">
        <f>IFERROR(AVERAGE(PARAKH_Preparatory_G6!T4:T5),0)</f>
        <v>0.55499999999999994</v>
      </c>
      <c r="E19" s="57">
        <f>IFERROR(AVERAGE(PARAKH_Preparatory_G6!T6:T15),0)</f>
        <v>0.41600000000000004</v>
      </c>
      <c r="F19" s="57">
        <f>IFERROR(AVERAGE(PARAKH_Preparatory_G6!T16:T26),0)</f>
        <v>0.47090909090909089</v>
      </c>
      <c r="G19" s="57">
        <f>IFERROR(AVERAGE(PARAKH_Middle_G9!T4:T4),0)</f>
        <v>0.52</v>
      </c>
      <c r="H19" s="57">
        <f>IFERROR(AVERAGE(PARAKH_Middle_G9!T5:T16),0)</f>
        <v>0.31583333333333335</v>
      </c>
      <c r="I19" s="57">
        <f>IFERROR(AVERAGE(PARAKH_Middle_G9!T17:T28),0)</f>
        <v>0.38500000000000006</v>
      </c>
      <c r="J19" s="57">
        <f>IFERROR(AVERAGE(PARAKH_Middle_G9!T29:T43),0)</f>
        <v>0.39800000000000002</v>
      </c>
    </row>
    <row r="20" spans="1:10" ht="15.75" customHeight="1" x14ac:dyDescent="0.3">
      <c r="A20" s="18" t="str">
        <f>Districts_Setup!$B$20</f>
        <v>Kutch</v>
      </c>
      <c r="B20" s="57">
        <f>IFERROR(AVERAGE(PARAKH_Foundational_G3!U4:U6),0)</f>
        <v>0.5033333333333333</v>
      </c>
      <c r="C20" s="57">
        <f>IFERROR(AVERAGE(PARAKH_Foundational_G3!U7:U18),0)</f>
        <v>0.46416666666666667</v>
      </c>
      <c r="D20" s="57">
        <f>IFERROR(AVERAGE(PARAKH_Preparatory_G6!U4:U5),0)</f>
        <v>0.51500000000000001</v>
      </c>
      <c r="E20" s="57">
        <f>IFERROR(AVERAGE(PARAKH_Preparatory_G6!U6:U15),0)</f>
        <v>0.37899999999999995</v>
      </c>
      <c r="F20" s="57">
        <f>IFERROR(AVERAGE(PARAKH_Preparatory_G6!U16:U26),0)</f>
        <v>0.43454545454545457</v>
      </c>
      <c r="G20" s="57">
        <f>IFERROR(AVERAGE(PARAKH_Middle_G9!U4:U4),0)</f>
        <v>0.53</v>
      </c>
      <c r="H20" s="57">
        <f>IFERROR(AVERAGE(PARAKH_Middle_G9!U5:U16),0)</f>
        <v>0.32</v>
      </c>
      <c r="I20" s="57">
        <f>IFERROR(AVERAGE(PARAKH_Middle_G9!U17:U28),0)</f>
        <v>0.3758333333333333</v>
      </c>
      <c r="J20" s="57">
        <f>IFERROR(AVERAGE(PARAKH_Middle_G9!U29:U43),0)</f>
        <v>0.38466666666666666</v>
      </c>
    </row>
    <row r="21" spans="1:10" ht="15.75" customHeight="1" x14ac:dyDescent="0.3">
      <c r="A21" s="18" t="str">
        <f>Districts_Setup!$B$21</f>
        <v>Kheda</v>
      </c>
      <c r="B21" s="57">
        <f>IFERROR(AVERAGE(PARAKH_Foundational_G3!V4:V6),0)</f>
        <v>0.50666666666666671</v>
      </c>
      <c r="C21" s="57">
        <f>IFERROR(AVERAGE(PARAKH_Foundational_G3!V7:V18),0)</f>
        <v>0.44666666666666671</v>
      </c>
      <c r="D21" s="57">
        <f>IFERROR(AVERAGE(PARAKH_Preparatory_G6!V4:V5),0)</f>
        <v>0.47</v>
      </c>
      <c r="E21" s="57">
        <f>IFERROR(AVERAGE(PARAKH_Preparatory_G6!V6:V15),0)</f>
        <v>0.32900000000000001</v>
      </c>
      <c r="F21" s="57">
        <f>IFERROR(AVERAGE(PARAKH_Preparatory_G6!V16:V26),0)</f>
        <v>0.42181818181818187</v>
      </c>
      <c r="G21" s="57">
        <f>IFERROR(AVERAGE(PARAKH_Middle_G9!V4:V4),0)</f>
        <v>0.45</v>
      </c>
      <c r="H21" s="57">
        <f>IFERROR(AVERAGE(PARAKH_Middle_G9!V5:V16),0)</f>
        <v>0.28333333333333338</v>
      </c>
      <c r="I21" s="57">
        <f>IFERROR(AVERAGE(PARAKH_Middle_G9!V17:V28),0)</f>
        <v>0.33916666666666662</v>
      </c>
      <c r="J21" s="57">
        <f>IFERROR(AVERAGE(PARAKH_Middle_G9!V29:V43),0)</f>
        <v>0.34333333333333338</v>
      </c>
    </row>
    <row r="22" spans="1:10" ht="15.75" customHeight="1" x14ac:dyDescent="0.3">
      <c r="A22" s="18" t="str">
        <f>Districts_Setup!$B$22</f>
        <v>Mahisagar</v>
      </c>
      <c r="B22" s="57">
        <f>IFERROR(AVERAGE(PARAKH_Foundational_G3!W4:W6),0)</f>
        <v>0.58000000000000007</v>
      </c>
      <c r="C22" s="57">
        <f>IFERROR(AVERAGE(PARAKH_Foundational_G3!W7:W18),0)</f>
        <v>0.49833333333333335</v>
      </c>
      <c r="D22" s="57">
        <f>IFERROR(AVERAGE(PARAKH_Preparatory_G6!W4:W5),0)</f>
        <v>0.495</v>
      </c>
      <c r="E22" s="57">
        <f>IFERROR(AVERAGE(PARAKH_Preparatory_G6!W6:W15),0)</f>
        <v>0.38899999999999996</v>
      </c>
      <c r="F22" s="57">
        <f>IFERROR(AVERAGE(PARAKH_Preparatory_G6!W16:W26),0)</f>
        <v>0.46909090909090911</v>
      </c>
      <c r="G22" s="57">
        <f>IFERROR(AVERAGE(PARAKH_Middle_G9!W4:W4),0)</f>
        <v>0.44</v>
      </c>
      <c r="H22" s="57">
        <f>IFERROR(AVERAGE(PARAKH_Middle_G9!W5:W16),0)</f>
        <v>0.29833333333333334</v>
      </c>
      <c r="I22" s="57">
        <f>IFERROR(AVERAGE(PARAKH_Middle_G9!W17:W28),0)</f>
        <v>0.36083333333333334</v>
      </c>
      <c r="J22" s="57">
        <f>IFERROR(AVERAGE(PARAKH_Middle_G9!W29:W43),0)</f>
        <v>0.378</v>
      </c>
    </row>
    <row r="23" spans="1:10" ht="15.75" customHeight="1" x14ac:dyDescent="0.3">
      <c r="A23" s="18" t="str">
        <f>Districts_Setup!$B$23</f>
        <v>Mehsana</v>
      </c>
      <c r="B23" s="57">
        <f>IFERROR(AVERAGE(PARAKH_Foundational_G3!X4:X6),0)</f>
        <v>0.56666666666666665</v>
      </c>
      <c r="C23" s="57">
        <f>IFERROR(AVERAGE(PARAKH_Foundational_G3!X7:X18),0)</f>
        <v>0.50250000000000006</v>
      </c>
      <c r="D23" s="57">
        <f>IFERROR(AVERAGE(PARAKH_Preparatory_G6!X4:X5),0)</f>
        <v>0.55499999999999994</v>
      </c>
      <c r="E23" s="57">
        <f>IFERROR(AVERAGE(PARAKH_Preparatory_G6!X6:X15),0)</f>
        <v>0.39900000000000002</v>
      </c>
      <c r="F23" s="57">
        <f>IFERROR(AVERAGE(PARAKH_Preparatory_G6!X16:X26),0)</f>
        <v>0.4336363636363636</v>
      </c>
      <c r="G23" s="57">
        <f>IFERROR(AVERAGE(PARAKH_Middle_G9!X4:X4),0)</f>
        <v>0.5</v>
      </c>
      <c r="H23" s="57">
        <f>IFERROR(AVERAGE(PARAKH_Middle_G9!X5:X16),0)</f>
        <v>0.30833333333333335</v>
      </c>
      <c r="I23" s="57">
        <f>IFERROR(AVERAGE(PARAKH_Middle_G9!X17:X28),0)</f>
        <v>0.34833333333333333</v>
      </c>
      <c r="J23" s="57">
        <f>IFERROR(AVERAGE(PARAKH_Middle_G9!X29:X43),0)</f>
        <v>0.33400000000000002</v>
      </c>
    </row>
    <row r="24" spans="1:10" ht="15.75" customHeight="1" x14ac:dyDescent="0.3">
      <c r="A24" s="18" t="str">
        <f>Districts_Setup!$B$24</f>
        <v>Morbi</v>
      </c>
      <c r="B24" s="57">
        <f>IFERROR(AVERAGE(PARAKH_Foundational_G3!Y4:Y6),0)</f>
        <v>0.59</v>
      </c>
      <c r="C24" s="57">
        <f>IFERROR(AVERAGE(PARAKH_Foundational_G3!Y7:Y18),0)</f>
        <v>0.51416666666666677</v>
      </c>
      <c r="D24" s="57">
        <f>IFERROR(AVERAGE(PARAKH_Preparatory_G6!Y4:Y5),0)</f>
        <v>0.505</v>
      </c>
      <c r="E24" s="57">
        <f>IFERROR(AVERAGE(PARAKH_Preparatory_G6!Y6:Y15),0)</f>
        <v>0.38800000000000001</v>
      </c>
      <c r="F24" s="57">
        <f>IFERROR(AVERAGE(PARAKH_Preparatory_G6!Y16:Y26),0)</f>
        <v>0.43454545454545457</v>
      </c>
      <c r="G24" s="57">
        <f>IFERROR(AVERAGE(PARAKH_Middle_G9!Y4:Y4),0)</f>
        <v>0.49</v>
      </c>
      <c r="H24" s="57">
        <f>IFERROR(AVERAGE(PARAKH_Middle_G9!Y5:Y16),0)</f>
        <v>0.29666666666666669</v>
      </c>
      <c r="I24" s="57">
        <f>IFERROR(AVERAGE(PARAKH_Middle_G9!Y17:Y28),0)</f>
        <v>0.36000000000000004</v>
      </c>
      <c r="J24" s="57">
        <f>IFERROR(AVERAGE(PARAKH_Middle_G9!Y29:Y43),0)</f>
        <v>0.372</v>
      </c>
    </row>
    <row r="25" spans="1:10" ht="15.75" customHeight="1" x14ac:dyDescent="0.3">
      <c r="A25" s="18" t="str">
        <f>Districts_Setup!$B$25</f>
        <v>Narmada</v>
      </c>
      <c r="B25" s="57">
        <f>IFERROR(AVERAGE(PARAKH_Foundational_G3!Z4:Z6),0)</f>
        <v>0.57333333333333325</v>
      </c>
      <c r="C25" s="57">
        <f>IFERROR(AVERAGE(PARAKH_Foundational_G3!Z7:Z18),0)</f>
        <v>0.505</v>
      </c>
      <c r="D25" s="57">
        <f>IFERROR(AVERAGE(PARAKH_Preparatory_G6!Z4:Z5),0)</f>
        <v>0.48</v>
      </c>
      <c r="E25" s="57">
        <f>IFERROR(AVERAGE(PARAKH_Preparatory_G6!Z6:Z15),0)</f>
        <v>0.36399999999999999</v>
      </c>
      <c r="F25" s="57">
        <f>IFERROR(AVERAGE(PARAKH_Preparatory_G6!Z16:Z26),0)</f>
        <v>0.41727272727272735</v>
      </c>
      <c r="G25" s="57">
        <f>IFERROR(AVERAGE(PARAKH_Middle_G9!Z4:Z4),0)</f>
        <v>0.5</v>
      </c>
      <c r="H25" s="57">
        <f>IFERROR(AVERAGE(PARAKH_Middle_G9!Z5:Z16),0)</f>
        <v>0.28333333333333338</v>
      </c>
      <c r="I25" s="57">
        <f>IFERROR(AVERAGE(PARAKH_Middle_G9!Z17:Z28),0)</f>
        <v>0.35666666666666669</v>
      </c>
      <c r="J25" s="57">
        <f>IFERROR(AVERAGE(PARAKH_Middle_G9!Z29:Z43),0)</f>
        <v>0.36400000000000005</v>
      </c>
    </row>
    <row r="26" spans="1:10" ht="15.75" customHeight="1" x14ac:dyDescent="0.3">
      <c r="A26" s="18" t="str">
        <f>Districts_Setup!$B$26</f>
        <v>Navsari</v>
      </c>
      <c r="B26" s="57">
        <f>IFERROR(AVERAGE(PARAKH_Foundational_G3!AA4:AA6),0)</f>
        <v>0.54333333333333333</v>
      </c>
      <c r="C26" s="57">
        <f>IFERROR(AVERAGE(PARAKH_Foundational_G3!AA7:AA18),0)</f>
        <v>0.49</v>
      </c>
      <c r="D26" s="57">
        <f>IFERROR(AVERAGE(PARAKH_Preparatory_G6!AA4:AA5),0)</f>
        <v>0.52</v>
      </c>
      <c r="E26" s="57">
        <f>IFERROR(AVERAGE(PARAKH_Preparatory_G6!AA6:AA15),0)</f>
        <v>0.377</v>
      </c>
      <c r="F26" s="57">
        <f>IFERROR(AVERAGE(PARAKH_Preparatory_G6!AA16:AA26),0)</f>
        <v>0.44636363636363635</v>
      </c>
      <c r="G26" s="57">
        <f>IFERROR(AVERAGE(PARAKH_Middle_G9!AA4:AA4),0)</f>
        <v>0.53</v>
      </c>
      <c r="H26" s="57">
        <f>IFERROR(AVERAGE(PARAKH_Middle_G9!AA5:AA16),0)</f>
        <v>0.33083333333333337</v>
      </c>
      <c r="I26" s="57">
        <f>IFERROR(AVERAGE(PARAKH_Middle_G9!AA17:AA28),0)</f>
        <v>0.38666666666666671</v>
      </c>
      <c r="J26" s="57">
        <f>IFERROR(AVERAGE(PARAKH_Middle_G9!AA29:AA43),0)</f>
        <v>0.40133333333333338</v>
      </c>
    </row>
    <row r="27" spans="1:10" ht="15.75" customHeight="1" x14ac:dyDescent="0.3">
      <c r="A27" s="18" t="str">
        <f>Districts_Setup!$B$27</f>
        <v>Panchmahal</v>
      </c>
      <c r="B27" s="57">
        <f>IFERROR(AVERAGE(PARAKH_Foundational_G3!AB4:AB6),0)</f>
        <v>0.57666666666666666</v>
      </c>
      <c r="C27" s="57">
        <f>IFERROR(AVERAGE(PARAKH_Foundational_G3!AB7:AB18),0)</f>
        <v>0.52333333333333343</v>
      </c>
      <c r="D27" s="57">
        <f>IFERROR(AVERAGE(PARAKH_Preparatory_G6!AB4:AB5),0)</f>
        <v>0.52</v>
      </c>
      <c r="E27" s="57">
        <f>IFERROR(AVERAGE(PARAKH_Preparatory_G6!AB6:AB15),0)</f>
        <v>0.40700000000000003</v>
      </c>
      <c r="F27" s="57">
        <f>IFERROR(AVERAGE(PARAKH_Preparatory_G6!AB16:AB26),0)</f>
        <v>0.45</v>
      </c>
      <c r="G27" s="57">
        <f>IFERROR(AVERAGE(PARAKH_Middle_G9!AB4:AB4),0)</f>
        <v>0.44</v>
      </c>
      <c r="H27" s="57">
        <f>IFERROR(AVERAGE(PARAKH_Middle_G9!AB5:AB16),0)</f>
        <v>0.28583333333333333</v>
      </c>
      <c r="I27" s="57">
        <f>IFERROR(AVERAGE(PARAKH_Middle_G9!AB17:AB28),0)</f>
        <v>0.34583333333333327</v>
      </c>
      <c r="J27" s="57">
        <f>IFERROR(AVERAGE(PARAKH_Middle_G9!AB29:AB43),0)</f>
        <v>0.34800000000000003</v>
      </c>
    </row>
    <row r="28" spans="1:10" ht="15.75" customHeight="1" x14ac:dyDescent="0.3">
      <c r="A28" s="18" t="str">
        <f>Districts_Setup!$B$28</f>
        <v>Patan</v>
      </c>
      <c r="B28" s="57">
        <f>IFERROR(AVERAGE(PARAKH_Foundational_G3!AC4:AC6),0)</f>
        <v>0.52666666666666662</v>
      </c>
      <c r="C28" s="57">
        <f>IFERROR(AVERAGE(PARAKH_Foundational_G3!AC7:AC18),0)</f>
        <v>0.46833333333333332</v>
      </c>
      <c r="D28" s="57">
        <f>IFERROR(AVERAGE(PARAKH_Preparatory_G6!AC4:AC5),0)</f>
        <v>0.52</v>
      </c>
      <c r="E28" s="57">
        <f>IFERROR(AVERAGE(PARAKH_Preparatory_G6!AC6:AC15),0)</f>
        <v>0.38899999999999996</v>
      </c>
      <c r="F28" s="57">
        <f>IFERROR(AVERAGE(PARAKH_Preparatory_G6!AC16:AC26),0)</f>
        <v>0.4518181818181819</v>
      </c>
      <c r="G28" s="57">
        <f>IFERROR(AVERAGE(PARAKH_Middle_G9!AC4:AC4),0)</f>
        <v>0.48</v>
      </c>
      <c r="H28" s="57">
        <f>IFERROR(AVERAGE(PARAKH_Middle_G9!AC5:AC16),0)</f>
        <v>0.30750000000000005</v>
      </c>
      <c r="I28" s="57">
        <f>IFERROR(AVERAGE(PARAKH_Middle_G9!AC17:AC28),0)</f>
        <v>0.36749999999999999</v>
      </c>
      <c r="J28" s="57">
        <f>IFERROR(AVERAGE(PARAKH_Middle_G9!AC29:AC43),0)</f>
        <v>0.37666666666666665</v>
      </c>
    </row>
    <row r="29" spans="1:10" ht="15.75" customHeight="1" x14ac:dyDescent="0.3">
      <c r="A29" s="18" t="str">
        <f>Districts_Setup!$B$29</f>
        <v>Porbandar</v>
      </c>
      <c r="B29" s="57">
        <f>IFERROR(AVERAGE(PARAKH_Foundational_G3!AD4:AD6),0)</f>
        <v>0.5</v>
      </c>
      <c r="C29" s="57">
        <f>IFERROR(AVERAGE(PARAKH_Foundational_G3!AD7:AD18),0)</f>
        <v>0.45833333333333331</v>
      </c>
      <c r="D29" s="57">
        <f>IFERROR(AVERAGE(PARAKH_Preparatory_G6!AD4:AD5),0)</f>
        <v>0.51500000000000001</v>
      </c>
      <c r="E29" s="57">
        <f>IFERROR(AVERAGE(PARAKH_Preparatory_G6!AD6:AD15),0)</f>
        <v>0.36900000000000005</v>
      </c>
      <c r="F29" s="57">
        <f>IFERROR(AVERAGE(PARAKH_Preparatory_G6!AD16:AD26),0)</f>
        <v>0.4390909090909092</v>
      </c>
      <c r="G29" s="57">
        <f>IFERROR(AVERAGE(PARAKH_Middle_G9!AD4:AD4),0)</f>
        <v>0.49</v>
      </c>
      <c r="H29" s="57">
        <f>IFERROR(AVERAGE(PARAKH_Middle_G9!AD5:AD16),0)</f>
        <v>0.3</v>
      </c>
      <c r="I29" s="57">
        <f>IFERROR(AVERAGE(PARAKH_Middle_G9!AD17:AD28),0)</f>
        <v>0.35749999999999998</v>
      </c>
      <c r="J29" s="57">
        <f>IFERROR(AVERAGE(PARAKH_Middle_G9!AD29:AD43),0)</f>
        <v>0.372</v>
      </c>
    </row>
    <row r="30" spans="1:10" ht="15.75" customHeight="1" x14ac:dyDescent="0.3">
      <c r="A30" s="18" t="str">
        <f>Districts_Setup!$B$30</f>
        <v>Rajkot</v>
      </c>
      <c r="B30" s="57">
        <f>IFERROR(AVERAGE(PARAKH_Foundational_G3!AE4:AE6),0)</f>
        <v>0.56333333333333335</v>
      </c>
      <c r="C30" s="57">
        <f>IFERROR(AVERAGE(PARAKH_Foundational_G3!AE7:AE18),0)</f>
        <v>0.50083333333333335</v>
      </c>
      <c r="D30" s="57">
        <f>IFERROR(AVERAGE(PARAKH_Preparatory_G6!AE4:AE5),0)</f>
        <v>0.49</v>
      </c>
      <c r="E30" s="57">
        <f>IFERROR(AVERAGE(PARAKH_Preparatory_G6!AE6:AE15),0)</f>
        <v>0.38100000000000001</v>
      </c>
      <c r="F30" s="57">
        <f>IFERROR(AVERAGE(PARAKH_Preparatory_G6!AE16:AE26),0)</f>
        <v>0.43545454545454554</v>
      </c>
      <c r="G30" s="57">
        <f>IFERROR(AVERAGE(PARAKH_Middle_G9!AE4:AE4),0)</f>
        <v>0.53</v>
      </c>
      <c r="H30" s="57">
        <f>IFERROR(AVERAGE(PARAKH_Middle_G9!AE5:AE16),0)</f>
        <v>0.32500000000000001</v>
      </c>
      <c r="I30" s="57">
        <f>IFERROR(AVERAGE(PARAKH_Middle_G9!AE17:AE28),0)</f>
        <v>0.38500000000000001</v>
      </c>
      <c r="J30" s="57">
        <f>IFERROR(AVERAGE(PARAKH_Middle_G9!AE29:AE43),0)</f>
        <v>0.40133333333333338</v>
      </c>
    </row>
    <row r="31" spans="1:10" ht="15.75" customHeight="1" x14ac:dyDescent="0.3">
      <c r="A31" s="18" t="str">
        <f>Districts_Setup!$B$31</f>
        <v>Sabarkantha</v>
      </c>
      <c r="B31" s="57">
        <f>IFERROR(AVERAGE(PARAKH_Foundational_G3!AF4:AF6),0)</f>
        <v>0.61333333333333329</v>
      </c>
      <c r="C31" s="57">
        <f>IFERROR(AVERAGE(PARAKH_Foundational_G3!AF7:AF18),0)</f>
        <v>0.56250000000000011</v>
      </c>
      <c r="D31" s="57">
        <f>IFERROR(AVERAGE(PARAKH_Preparatory_G6!AF4:AF5),0)</f>
        <v>0.49</v>
      </c>
      <c r="E31" s="57">
        <f>IFERROR(AVERAGE(PARAKH_Preparatory_G6!AF6:AF15),0)</f>
        <v>0.374</v>
      </c>
      <c r="F31" s="57">
        <f>IFERROR(AVERAGE(PARAKH_Preparatory_G6!AF16:AF26),0)</f>
        <v>0.42818181818181816</v>
      </c>
      <c r="G31" s="57">
        <f>IFERROR(AVERAGE(PARAKH_Middle_G9!AF4:AF4),0)</f>
        <v>0.48</v>
      </c>
      <c r="H31" s="57">
        <f>IFERROR(AVERAGE(PARAKH_Middle_G9!AF5:AF16),0)</f>
        <v>0.3116666666666667</v>
      </c>
      <c r="I31" s="57">
        <f>IFERROR(AVERAGE(PARAKH_Middle_G9!AF17:AF28),0)</f>
        <v>0.35333333333333344</v>
      </c>
      <c r="J31" s="57">
        <f>IFERROR(AVERAGE(PARAKH_Middle_G9!AF29:AF43),0)</f>
        <v>0.37266666666666665</v>
      </c>
    </row>
    <row r="32" spans="1:10" ht="15.75" customHeight="1" x14ac:dyDescent="0.3">
      <c r="A32" s="18" t="str">
        <f>Districts_Setup!$B$32</f>
        <v>Surat</v>
      </c>
      <c r="B32" s="57">
        <f>IFERROR(AVERAGE(PARAKH_Foundational_G3!AG4:AG6),0)</f>
        <v>0.54666666666666663</v>
      </c>
      <c r="C32" s="57">
        <f>IFERROR(AVERAGE(PARAKH_Foundational_G3!AG7:AG18),0)</f>
        <v>0.48000000000000004</v>
      </c>
      <c r="D32" s="57">
        <f>IFERROR(AVERAGE(PARAKH_Preparatory_G6!AG4:AG5),0)</f>
        <v>0.54500000000000004</v>
      </c>
      <c r="E32" s="57">
        <f>IFERROR(AVERAGE(PARAKH_Preparatory_G6!AG6:AG15),0)</f>
        <v>0.40600000000000003</v>
      </c>
      <c r="F32" s="57">
        <f>IFERROR(AVERAGE(PARAKH_Preparatory_G6!AG16:AG26),0)</f>
        <v>0.4554545454545455</v>
      </c>
      <c r="G32" s="57">
        <f>IFERROR(AVERAGE(PARAKH_Middle_G9!AG4:AG4),0)</f>
        <v>0.56000000000000005</v>
      </c>
      <c r="H32" s="57">
        <f>IFERROR(AVERAGE(PARAKH_Middle_G9!AG5:AG16),0)</f>
        <v>0.34083333333333332</v>
      </c>
      <c r="I32" s="57">
        <f>IFERROR(AVERAGE(PARAKH_Middle_G9!AG17:AG28),0)</f>
        <v>0.39999999999999997</v>
      </c>
      <c r="J32" s="57">
        <f>IFERROR(AVERAGE(PARAKH_Middle_G9!AG29:AG43),0)</f>
        <v>0.41733333333333339</v>
      </c>
    </row>
    <row r="33" spans="1:10" ht="15.75" customHeight="1" x14ac:dyDescent="0.3">
      <c r="A33" s="18" t="str">
        <f>Districts_Setup!$B$33</f>
        <v>Surendranagar</v>
      </c>
      <c r="B33" s="57">
        <f>IFERROR(AVERAGE(PARAKH_Foundational_G3!AH4:AH6),0)</f>
        <v>0.61</v>
      </c>
      <c r="C33" s="57">
        <f>IFERROR(AVERAGE(PARAKH_Foundational_G3!AH7:AH18),0)</f>
        <v>0.53166666666666662</v>
      </c>
      <c r="D33" s="57">
        <f>IFERROR(AVERAGE(PARAKH_Preparatory_G6!AH4:AH5),0)</f>
        <v>0.56499999999999995</v>
      </c>
      <c r="E33" s="57">
        <f>IFERROR(AVERAGE(PARAKH_Preparatory_G6!AH6:AH15),0)</f>
        <v>0.42400000000000004</v>
      </c>
      <c r="F33" s="57">
        <f>IFERROR(AVERAGE(PARAKH_Preparatory_G6!AH16:AH26),0)</f>
        <v>0.48636363636363639</v>
      </c>
      <c r="G33" s="57">
        <f>IFERROR(AVERAGE(PARAKH_Middle_G9!AH4:AH4),0)</f>
        <v>0.46</v>
      </c>
      <c r="H33" s="57">
        <f>IFERROR(AVERAGE(PARAKH_Middle_G9!AH5:AH16),0)</f>
        <v>0.30249999999999999</v>
      </c>
      <c r="I33" s="57">
        <f>IFERROR(AVERAGE(PARAKH_Middle_G9!AH17:AH28),0)</f>
        <v>0.34499999999999997</v>
      </c>
      <c r="J33" s="57">
        <f>IFERROR(AVERAGE(PARAKH_Middle_G9!AH29:AH43),0)</f>
        <v>0.35599999999999998</v>
      </c>
    </row>
    <row r="34" spans="1:10" ht="15.75" customHeight="1" x14ac:dyDescent="0.3">
      <c r="A34" s="18" t="str">
        <f>Districts_Setup!$B$34</f>
        <v>Tapi</v>
      </c>
      <c r="B34" s="57">
        <f>IFERROR(AVERAGE(PARAKH_Foundational_G3!AI4:AI6),0)</f>
        <v>0.61333333333333329</v>
      </c>
      <c r="C34" s="57">
        <f>IFERROR(AVERAGE(PARAKH_Foundational_G3!AI7:AI18),0)</f>
        <v>0.55583333333333329</v>
      </c>
      <c r="D34" s="57">
        <f>IFERROR(AVERAGE(PARAKH_Preparatory_G6!AI4:AI5),0)</f>
        <v>0.54</v>
      </c>
      <c r="E34" s="57">
        <f>IFERROR(AVERAGE(PARAKH_Preparatory_G6!AI6:AI15),0)</f>
        <v>0.40499999999999997</v>
      </c>
      <c r="F34" s="57">
        <f>IFERROR(AVERAGE(PARAKH_Preparatory_G6!AI16:AI26),0)</f>
        <v>0.48636363636363639</v>
      </c>
      <c r="G34" s="57">
        <f>IFERROR(AVERAGE(PARAKH_Middle_G9!AI4:AI4),0)</f>
        <v>0.53</v>
      </c>
      <c r="H34" s="57">
        <f>IFERROR(AVERAGE(PARAKH_Middle_G9!AI5:AI16),0)</f>
        <v>0.3041666666666667</v>
      </c>
      <c r="I34" s="57">
        <f>IFERROR(AVERAGE(PARAKH_Middle_G9!AI17:AI28),0)</f>
        <v>0.37833333333333324</v>
      </c>
      <c r="J34" s="57">
        <f>IFERROR(AVERAGE(PARAKH_Middle_G9!AI29:AI43),0)</f>
        <v>0.39066666666666661</v>
      </c>
    </row>
    <row r="35" spans="1:10" ht="15.75" customHeight="1" x14ac:dyDescent="0.3">
      <c r="A35" s="18" t="str">
        <f>Districts_Setup!$B$35</f>
        <v>Vadodara</v>
      </c>
      <c r="B35" s="57">
        <f>IFERROR(AVERAGE(PARAKH_Foundational_G3!AJ4:AJ6),0)</f>
        <v>0.51333333333333331</v>
      </c>
      <c r="C35" s="57">
        <f>IFERROR(AVERAGE(PARAKH_Foundational_G3!AJ7:AJ18),0)</f>
        <v>0.46166666666666661</v>
      </c>
      <c r="D35" s="57">
        <f>IFERROR(AVERAGE(PARAKH_Preparatory_G6!AJ4:AJ5),0)</f>
        <v>0.53500000000000003</v>
      </c>
      <c r="E35" s="57">
        <f>IFERROR(AVERAGE(PARAKH_Preparatory_G6!AJ6:AJ15),0)</f>
        <v>0.40300000000000002</v>
      </c>
      <c r="F35" s="57">
        <f>IFERROR(AVERAGE(PARAKH_Preparatory_G6!AJ16:AJ26),0)</f>
        <v>0.45636363636363642</v>
      </c>
      <c r="G35" s="57">
        <f>IFERROR(AVERAGE(PARAKH_Middle_G9!AJ4:AJ4),0)</f>
        <v>0.55000000000000004</v>
      </c>
      <c r="H35" s="57">
        <f>IFERROR(AVERAGE(PARAKH_Middle_G9!AJ5:AJ16),0)</f>
        <v>0.34166666666666662</v>
      </c>
      <c r="I35" s="57">
        <f>IFERROR(AVERAGE(PARAKH_Middle_G9!AJ17:AJ28),0)</f>
        <v>0.40833333333333327</v>
      </c>
      <c r="J35" s="57">
        <f>IFERROR(AVERAGE(PARAKH_Middle_G9!AJ29:AJ43),0)</f>
        <v>0.41466666666666663</v>
      </c>
    </row>
    <row r="36" spans="1:10" ht="15.75" customHeight="1" x14ac:dyDescent="0.3">
      <c r="A36" s="18" t="str">
        <f>Districts_Setup!$B$36</f>
        <v>Valsad</v>
      </c>
      <c r="B36" s="57">
        <f>IFERROR(AVERAGE(PARAKH_Foundational_G3!AK4:AK6),0)</f>
        <v>0.58000000000000007</v>
      </c>
      <c r="C36" s="57">
        <f>IFERROR(AVERAGE(PARAKH_Foundational_G3!AK7:AK18),0)</f>
        <v>0.51333333333333342</v>
      </c>
      <c r="D36" s="57">
        <f>IFERROR(AVERAGE(PARAKH_Preparatory_G6!AK4:AK5),0)</f>
        <v>0.51500000000000001</v>
      </c>
      <c r="E36" s="57">
        <f>IFERROR(AVERAGE(PARAKH_Preparatory_G6!AK6:AK15),0)</f>
        <v>0.378</v>
      </c>
      <c r="F36" s="57">
        <f>IFERROR(AVERAGE(PARAKH_Preparatory_G6!AK16:AK26),0)</f>
        <v>0.44454545454545458</v>
      </c>
      <c r="G36" s="57">
        <f>IFERROR(AVERAGE(PARAKH_Middle_G9!AK4:AK4),0)</f>
        <v>0.5</v>
      </c>
      <c r="H36" s="57">
        <f>IFERROR(AVERAGE(PARAKH_Middle_G9!AK5:AK16),0)</f>
        <v>0.31</v>
      </c>
      <c r="I36" s="57">
        <f>IFERROR(AVERAGE(PARAKH_Middle_G9!AK17:AK28),0)</f>
        <v>0.37999999999999995</v>
      </c>
      <c r="J36" s="57">
        <f>IFERROR(AVERAGE(PARAKH_Middle_G9!AK29:AK43),0)</f>
        <v>0.38399999999999995</v>
      </c>
    </row>
  </sheetData>
  <mergeCells count="2">
    <mergeCell ref="A2:J2"/>
    <mergeCell ref="A1:J1"/>
  </mergeCells>
  <conditionalFormatting sqref="B4:J36">
    <cfRule type="colorScale" priority="2">
      <colorScale>
        <cfvo type="min"/>
        <cfvo type="percentile" val="50"/>
        <cfvo type="max"/>
        <color rgb="FFF4CCCC"/>
        <color rgb="FFFFF2CC"/>
        <color rgb="FFD9EAD3"/>
      </colorScale>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S37"/>
  <sheetViews>
    <sheetView showGridLines="0" zoomScaleNormal="100" workbookViewId="0">
      <selection activeCell="E41" sqref="E41"/>
    </sheetView>
  </sheetViews>
  <sheetFormatPr defaultColWidth="8.6640625" defaultRowHeight="14.4" x14ac:dyDescent="0.3"/>
  <cols>
    <col min="1" max="1" width="19.77734375" style="6" bestFit="1" customWidth="1"/>
    <col min="2" max="19" width="11.77734375" style="6" customWidth="1"/>
    <col min="20" max="16384" width="8.6640625" style="6"/>
  </cols>
  <sheetData>
    <row r="1" spans="1:19" ht="25.5" customHeight="1" x14ac:dyDescent="0.3">
      <c r="A1" s="93" t="s">
        <v>785</v>
      </c>
      <c r="B1" s="93"/>
      <c r="C1" s="93"/>
      <c r="D1" s="93"/>
      <c r="E1" s="93"/>
      <c r="F1" s="93"/>
      <c r="G1" s="93"/>
      <c r="H1" s="93"/>
      <c r="I1" s="93"/>
      <c r="J1" s="93"/>
      <c r="K1" s="93"/>
      <c r="L1" s="93"/>
      <c r="M1" s="93"/>
      <c r="N1" s="93"/>
      <c r="O1" s="93"/>
      <c r="P1" s="93"/>
      <c r="Q1" s="93"/>
      <c r="R1" s="93"/>
      <c r="S1" s="93"/>
    </row>
    <row r="2" spans="1:19" ht="15.6" x14ac:dyDescent="0.3">
      <c r="A2" s="80" t="s">
        <v>629</v>
      </c>
      <c r="B2" s="80"/>
      <c r="C2" s="80"/>
      <c r="D2" s="80"/>
      <c r="E2" s="80"/>
      <c r="F2" s="80"/>
      <c r="G2" s="80"/>
      <c r="H2" s="80"/>
      <c r="I2" s="80"/>
      <c r="J2" s="80"/>
      <c r="K2" s="80"/>
      <c r="L2" s="80"/>
      <c r="M2" s="80"/>
      <c r="N2" s="80"/>
      <c r="O2" s="80"/>
      <c r="P2" s="80"/>
      <c r="Q2" s="80"/>
      <c r="R2" s="80"/>
      <c r="S2" s="80"/>
    </row>
    <row r="3" spans="1:19" ht="25.5" customHeight="1" x14ac:dyDescent="0.3">
      <c r="A3" s="94" t="s">
        <v>619</v>
      </c>
      <c r="B3" s="95" t="s">
        <v>620</v>
      </c>
      <c r="C3" s="95"/>
      <c r="D3" s="95" t="s">
        <v>621</v>
      </c>
      <c r="E3" s="95"/>
      <c r="F3" s="95" t="s">
        <v>622</v>
      </c>
      <c r="G3" s="95"/>
      <c r="H3" s="95" t="s">
        <v>623</v>
      </c>
      <c r="I3" s="95"/>
      <c r="J3" s="95" t="s">
        <v>786</v>
      </c>
      <c r="K3" s="95"/>
      <c r="L3" s="95" t="s">
        <v>625</v>
      </c>
      <c r="M3" s="95"/>
      <c r="N3" s="95" t="s">
        <v>626</v>
      </c>
      <c r="O3" s="95"/>
      <c r="P3" s="95" t="s">
        <v>627</v>
      </c>
      <c r="Q3" s="95"/>
      <c r="R3" s="95" t="s">
        <v>628</v>
      </c>
      <c r="S3" s="95"/>
    </row>
    <row r="4" spans="1:19" ht="25.5" customHeight="1" x14ac:dyDescent="0.3">
      <c r="A4" s="94"/>
      <c r="B4" s="36" t="s">
        <v>630</v>
      </c>
      <c r="C4" s="36" t="s">
        <v>631</v>
      </c>
      <c r="D4" s="36" t="s">
        <v>630</v>
      </c>
      <c r="E4" s="36" t="s">
        <v>631</v>
      </c>
      <c r="F4" s="36" t="s">
        <v>630</v>
      </c>
      <c r="G4" s="36" t="s">
        <v>631</v>
      </c>
      <c r="H4" s="36" t="s">
        <v>630</v>
      </c>
      <c r="I4" s="36" t="s">
        <v>631</v>
      </c>
      <c r="J4" s="36" t="s">
        <v>630</v>
      </c>
      <c r="K4" s="36" t="s">
        <v>631</v>
      </c>
      <c r="L4" s="36" t="s">
        <v>630</v>
      </c>
      <c r="M4" s="36" t="s">
        <v>631</v>
      </c>
      <c r="N4" s="36" t="s">
        <v>630</v>
      </c>
      <c r="O4" s="36" t="s">
        <v>631</v>
      </c>
      <c r="P4" s="36" t="s">
        <v>630</v>
      </c>
      <c r="Q4" s="36" t="s">
        <v>631</v>
      </c>
      <c r="R4" s="36" t="s">
        <v>630</v>
      </c>
      <c r="S4" s="36" t="s">
        <v>631</v>
      </c>
    </row>
    <row r="5" spans="1:19" ht="15.75" customHeight="1" x14ac:dyDescent="0.3">
      <c r="A5" s="18" t="str">
        <f>Districts_Setup!$B$4</f>
        <v>Ahmedabad</v>
      </c>
      <c r="B5" s="58">
        <v>0.59</v>
      </c>
      <c r="C5" s="58">
        <v>0.6</v>
      </c>
      <c r="D5" s="58">
        <v>0.55000000000000004</v>
      </c>
      <c r="E5" s="58">
        <v>0.54</v>
      </c>
      <c r="F5" s="58">
        <v>0.49</v>
      </c>
      <c r="G5" s="58">
        <v>0.54</v>
      </c>
      <c r="H5" s="58">
        <v>0.41</v>
      </c>
      <c r="I5" s="58">
        <v>0.4</v>
      </c>
      <c r="J5" s="58">
        <v>0.45</v>
      </c>
      <c r="K5" s="58">
        <v>0.47</v>
      </c>
      <c r="L5" s="58">
        <v>0.44</v>
      </c>
      <c r="M5" s="58">
        <v>0.53</v>
      </c>
      <c r="N5" s="58">
        <v>0.32</v>
      </c>
      <c r="O5" s="58">
        <v>0.32</v>
      </c>
      <c r="P5" s="58">
        <v>0.38</v>
      </c>
      <c r="Q5" s="58">
        <v>0.39</v>
      </c>
      <c r="R5" s="58">
        <v>0.35</v>
      </c>
      <c r="S5" s="58">
        <v>0.39</v>
      </c>
    </row>
    <row r="6" spans="1:19" ht="15.75" customHeight="1" x14ac:dyDescent="0.3">
      <c r="A6" s="18" t="str">
        <f>Districts_Setup!$B$5</f>
        <v>Amreli</v>
      </c>
      <c r="B6" s="58">
        <v>0.54</v>
      </c>
      <c r="C6" s="58">
        <v>0.56000000000000005</v>
      </c>
      <c r="D6" s="58">
        <v>0.49</v>
      </c>
      <c r="E6" s="58">
        <v>0.51</v>
      </c>
      <c r="F6" s="58">
        <v>0.45</v>
      </c>
      <c r="G6" s="58">
        <v>0.51</v>
      </c>
      <c r="H6" s="58">
        <v>0.33</v>
      </c>
      <c r="I6" s="58">
        <v>0.37</v>
      </c>
      <c r="J6" s="58">
        <v>0.39</v>
      </c>
      <c r="K6" s="58">
        <v>0.44</v>
      </c>
      <c r="L6" s="58">
        <v>0.47</v>
      </c>
      <c r="M6" s="58">
        <v>0.52</v>
      </c>
      <c r="N6" s="58">
        <v>0.28999999999999998</v>
      </c>
      <c r="O6" s="58">
        <v>0.3</v>
      </c>
      <c r="P6" s="58">
        <v>0.36</v>
      </c>
      <c r="Q6" s="58">
        <v>0.39</v>
      </c>
      <c r="R6" s="58">
        <v>0.37</v>
      </c>
      <c r="S6" s="58">
        <v>0.39</v>
      </c>
    </row>
    <row r="7" spans="1:19" ht="15.75" customHeight="1" x14ac:dyDescent="0.3">
      <c r="A7" s="18" t="str">
        <f>Districts_Setup!$B$6</f>
        <v>Anand</v>
      </c>
      <c r="B7" s="58">
        <v>0.56000000000000005</v>
      </c>
      <c r="C7" s="58">
        <v>0.62</v>
      </c>
      <c r="D7" s="58">
        <v>0.5</v>
      </c>
      <c r="E7" s="58">
        <v>0.54</v>
      </c>
      <c r="F7" s="58">
        <v>0.51</v>
      </c>
      <c r="G7" s="58">
        <v>0.56000000000000005</v>
      </c>
      <c r="H7" s="58">
        <v>0.43</v>
      </c>
      <c r="I7" s="58">
        <v>0.39</v>
      </c>
      <c r="J7" s="58">
        <v>0.46</v>
      </c>
      <c r="K7" s="58">
        <v>0.46</v>
      </c>
      <c r="L7" s="58">
        <v>0.45</v>
      </c>
      <c r="M7" s="58">
        <v>0.52</v>
      </c>
      <c r="N7" s="58">
        <v>0.32</v>
      </c>
      <c r="O7" s="58">
        <v>0.31</v>
      </c>
      <c r="P7" s="58">
        <v>0.36</v>
      </c>
      <c r="Q7" s="58">
        <v>0.39</v>
      </c>
      <c r="R7" s="58">
        <v>0.34</v>
      </c>
      <c r="S7" s="58">
        <v>0.38</v>
      </c>
    </row>
    <row r="8" spans="1:19" ht="15.75" customHeight="1" x14ac:dyDescent="0.3">
      <c r="A8" s="18" t="str">
        <f>Districts_Setup!$B$7</f>
        <v>Aravalli</v>
      </c>
      <c r="B8" s="58">
        <v>0.52</v>
      </c>
      <c r="C8" s="58">
        <v>0.54</v>
      </c>
      <c r="D8" s="58">
        <v>0.49</v>
      </c>
      <c r="E8" s="58">
        <v>0.5</v>
      </c>
      <c r="F8" s="58">
        <v>0.46</v>
      </c>
      <c r="G8" s="58">
        <v>0.53</v>
      </c>
      <c r="H8" s="58">
        <v>0.37</v>
      </c>
      <c r="I8" s="58">
        <v>0.38</v>
      </c>
      <c r="J8" s="58">
        <v>0.42</v>
      </c>
      <c r="K8" s="58">
        <v>0.44</v>
      </c>
      <c r="L8" s="58">
        <v>0.42</v>
      </c>
      <c r="M8" s="58">
        <v>0.48</v>
      </c>
      <c r="N8" s="58">
        <v>0.3</v>
      </c>
      <c r="O8" s="58">
        <v>0.28999999999999998</v>
      </c>
      <c r="P8" s="58">
        <v>0.36</v>
      </c>
      <c r="Q8" s="58">
        <v>0.35</v>
      </c>
      <c r="R8" s="58">
        <v>0.33</v>
      </c>
      <c r="S8" s="58">
        <v>0.35</v>
      </c>
    </row>
    <row r="9" spans="1:19" ht="15.75" customHeight="1" x14ac:dyDescent="0.3">
      <c r="A9" s="18" t="str">
        <f>Districts_Setup!$B$8</f>
        <v>Banaskantha</v>
      </c>
      <c r="B9" s="58">
        <v>0.55000000000000004</v>
      </c>
      <c r="C9" s="58">
        <v>0.54</v>
      </c>
      <c r="D9" s="58">
        <v>0.51</v>
      </c>
      <c r="E9" s="58">
        <v>0.48</v>
      </c>
      <c r="F9" s="58">
        <v>0.5</v>
      </c>
      <c r="G9" s="58">
        <v>0.56000000000000005</v>
      </c>
      <c r="H9" s="58">
        <v>0.41</v>
      </c>
      <c r="I9" s="58">
        <v>0.41</v>
      </c>
      <c r="J9" s="58">
        <v>0.46</v>
      </c>
      <c r="K9" s="58">
        <v>0.47</v>
      </c>
      <c r="L9" s="58">
        <v>0.48</v>
      </c>
      <c r="M9" s="58">
        <v>0.54</v>
      </c>
      <c r="N9" s="58">
        <v>0.32</v>
      </c>
      <c r="O9" s="58">
        <v>0.31</v>
      </c>
      <c r="P9" s="58">
        <v>0.37</v>
      </c>
      <c r="Q9" s="58">
        <v>0.38</v>
      </c>
      <c r="R9" s="58">
        <v>0.37</v>
      </c>
      <c r="S9" s="58">
        <v>0.38</v>
      </c>
    </row>
    <row r="10" spans="1:19" ht="15.75" customHeight="1" x14ac:dyDescent="0.3">
      <c r="A10" s="18" t="str">
        <f>Districts_Setup!$B$9</f>
        <v>Bharuch</v>
      </c>
      <c r="B10" s="58">
        <v>0.56999999999999995</v>
      </c>
      <c r="C10" s="58">
        <v>0.6</v>
      </c>
      <c r="D10" s="58">
        <v>0.51</v>
      </c>
      <c r="E10" s="58">
        <v>0.55000000000000004</v>
      </c>
      <c r="F10" s="58">
        <v>0.42</v>
      </c>
      <c r="G10" s="58">
        <v>0.49</v>
      </c>
      <c r="H10" s="58">
        <v>0.37</v>
      </c>
      <c r="I10" s="58">
        <v>0.36</v>
      </c>
      <c r="J10" s="58">
        <v>0.41</v>
      </c>
      <c r="K10" s="58">
        <v>0.44</v>
      </c>
      <c r="L10" s="58">
        <v>0.47</v>
      </c>
      <c r="M10" s="58">
        <v>0.56000000000000005</v>
      </c>
      <c r="N10" s="58">
        <v>0.32</v>
      </c>
      <c r="O10" s="58">
        <v>0.33</v>
      </c>
      <c r="P10" s="58">
        <v>0.37</v>
      </c>
      <c r="Q10" s="58">
        <v>0.4</v>
      </c>
      <c r="R10" s="58">
        <v>0.35</v>
      </c>
      <c r="S10" s="58">
        <v>0.4</v>
      </c>
    </row>
    <row r="11" spans="1:19" ht="15.75" customHeight="1" x14ac:dyDescent="0.3">
      <c r="A11" s="18" t="str">
        <f>Districts_Setup!$B$10</f>
        <v>Bhavnagar</v>
      </c>
      <c r="B11" s="58">
        <v>0.64</v>
      </c>
      <c r="C11" s="58">
        <v>0.64</v>
      </c>
      <c r="D11" s="58">
        <v>0.56999999999999995</v>
      </c>
      <c r="E11" s="58">
        <v>0.57999999999999996</v>
      </c>
      <c r="F11" s="58">
        <v>0.5</v>
      </c>
      <c r="G11" s="58">
        <v>0.56000000000000005</v>
      </c>
      <c r="H11" s="58">
        <v>0.4</v>
      </c>
      <c r="I11" s="58">
        <v>0.4</v>
      </c>
      <c r="J11" s="58">
        <v>0.45</v>
      </c>
      <c r="K11" s="58">
        <v>0.48</v>
      </c>
      <c r="L11" s="58">
        <v>0.5</v>
      </c>
      <c r="M11" s="58">
        <v>0.56000000000000005</v>
      </c>
      <c r="N11" s="58">
        <v>0.34</v>
      </c>
      <c r="O11" s="58">
        <v>0.3</v>
      </c>
      <c r="P11" s="58">
        <v>0.39</v>
      </c>
      <c r="Q11" s="58">
        <v>0.39</v>
      </c>
      <c r="R11" s="58">
        <v>0.39</v>
      </c>
      <c r="S11" s="58">
        <v>0.41</v>
      </c>
    </row>
    <row r="12" spans="1:19" ht="15.75" customHeight="1" x14ac:dyDescent="0.3">
      <c r="A12" s="18" t="str">
        <f>Districts_Setup!$B$11</f>
        <v>Botad</v>
      </c>
      <c r="B12" s="58">
        <v>0.57999999999999996</v>
      </c>
      <c r="C12" s="58">
        <v>0.59</v>
      </c>
      <c r="D12" s="58">
        <v>0.52</v>
      </c>
      <c r="E12" s="58">
        <v>0.53</v>
      </c>
      <c r="F12" s="58">
        <v>0.46</v>
      </c>
      <c r="G12" s="58">
        <v>0.57999999999999996</v>
      </c>
      <c r="H12" s="58">
        <v>0.38</v>
      </c>
      <c r="I12" s="58">
        <v>0.4</v>
      </c>
      <c r="J12" s="58">
        <v>0.42</v>
      </c>
      <c r="K12" s="58">
        <v>0.47</v>
      </c>
      <c r="L12" s="58">
        <v>0.43</v>
      </c>
      <c r="M12" s="58">
        <v>0.54</v>
      </c>
      <c r="N12" s="58">
        <v>0.28999999999999998</v>
      </c>
      <c r="O12" s="58">
        <v>0.31</v>
      </c>
      <c r="P12" s="58">
        <v>0.35</v>
      </c>
      <c r="Q12" s="58">
        <v>0.39</v>
      </c>
      <c r="R12" s="58">
        <v>0.34</v>
      </c>
      <c r="S12" s="58">
        <v>0.39</v>
      </c>
    </row>
    <row r="13" spans="1:19" ht="15.75" customHeight="1" x14ac:dyDescent="0.3">
      <c r="A13" s="18" t="str">
        <f>Districts_Setup!$B$12</f>
        <v>Chhota Udepur</v>
      </c>
      <c r="B13" s="58">
        <v>0.53</v>
      </c>
      <c r="C13" s="58">
        <v>0.53</v>
      </c>
      <c r="D13" s="58">
        <v>0.48</v>
      </c>
      <c r="E13" s="58">
        <v>0.48</v>
      </c>
      <c r="F13" s="58">
        <v>0.44</v>
      </c>
      <c r="G13" s="58">
        <v>0.47</v>
      </c>
      <c r="H13" s="58">
        <v>0.35</v>
      </c>
      <c r="I13" s="58">
        <v>0.33</v>
      </c>
      <c r="J13" s="58">
        <v>0.42</v>
      </c>
      <c r="K13" s="58">
        <v>0.4</v>
      </c>
      <c r="L13" s="58">
        <v>0.41</v>
      </c>
      <c r="M13" s="58">
        <v>0.45</v>
      </c>
      <c r="N13" s="58">
        <v>0.3</v>
      </c>
      <c r="O13" s="58">
        <v>0.28000000000000003</v>
      </c>
      <c r="P13" s="58">
        <v>0.34</v>
      </c>
      <c r="Q13" s="58">
        <v>0.35</v>
      </c>
      <c r="R13" s="58">
        <v>0.34</v>
      </c>
      <c r="S13" s="58">
        <v>0.35</v>
      </c>
    </row>
    <row r="14" spans="1:19" ht="15.75" customHeight="1" x14ac:dyDescent="0.3">
      <c r="A14" s="18" t="str">
        <f>Districts_Setup!$B$13</f>
        <v>Dahod</v>
      </c>
      <c r="B14" s="58">
        <v>0.59</v>
      </c>
      <c r="C14" s="58">
        <v>0.62</v>
      </c>
      <c r="D14" s="58">
        <v>0.54</v>
      </c>
      <c r="E14" s="58">
        <v>0.55000000000000004</v>
      </c>
      <c r="F14" s="58">
        <v>0.48</v>
      </c>
      <c r="G14" s="58">
        <v>0.5</v>
      </c>
      <c r="H14" s="58">
        <v>0.41</v>
      </c>
      <c r="I14" s="58">
        <v>0.42</v>
      </c>
      <c r="J14" s="58">
        <v>0.44</v>
      </c>
      <c r="K14" s="58">
        <v>0.47</v>
      </c>
      <c r="L14" s="58">
        <v>0.38</v>
      </c>
      <c r="M14" s="58">
        <v>0.41</v>
      </c>
      <c r="N14" s="58">
        <v>0.28999999999999998</v>
      </c>
      <c r="O14" s="58">
        <v>0.28000000000000003</v>
      </c>
      <c r="P14" s="58">
        <v>0.31</v>
      </c>
      <c r="Q14" s="58">
        <v>0.32</v>
      </c>
      <c r="R14" s="58">
        <v>0.31</v>
      </c>
      <c r="S14" s="58">
        <v>0.31</v>
      </c>
    </row>
    <row r="15" spans="1:19" ht="15.75" customHeight="1" x14ac:dyDescent="0.3">
      <c r="A15" s="18" t="str">
        <f>Districts_Setup!$B$14</f>
        <v>Dang</v>
      </c>
      <c r="B15" s="58">
        <v>0.6</v>
      </c>
      <c r="C15" s="58">
        <v>0.61</v>
      </c>
      <c r="D15" s="58">
        <v>0.55000000000000004</v>
      </c>
      <c r="E15" s="58">
        <v>0.55000000000000004</v>
      </c>
      <c r="F15" s="58">
        <v>0.49</v>
      </c>
      <c r="G15" s="58">
        <v>0.6</v>
      </c>
      <c r="H15" s="58">
        <v>0.36</v>
      </c>
      <c r="I15" s="58">
        <v>0.39</v>
      </c>
      <c r="J15" s="58">
        <v>0.45</v>
      </c>
      <c r="K15" s="58">
        <v>0.51</v>
      </c>
      <c r="L15" s="58">
        <v>0.42</v>
      </c>
      <c r="M15" s="58">
        <v>0.46</v>
      </c>
      <c r="N15" s="58">
        <v>0.28000000000000003</v>
      </c>
      <c r="O15" s="58">
        <v>0.25</v>
      </c>
      <c r="P15" s="58">
        <v>0.33</v>
      </c>
      <c r="Q15" s="58">
        <v>0.34</v>
      </c>
      <c r="R15" s="58">
        <v>0.35</v>
      </c>
      <c r="S15" s="58">
        <v>0.35</v>
      </c>
    </row>
    <row r="16" spans="1:19" ht="15.75" customHeight="1" x14ac:dyDescent="0.3">
      <c r="A16" s="18" t="str">
        <f>Districts_Setup!$B$15</f>
        <v>Devbhoomi Dwarka</v>
      </c>
      <c r="B16" s="58">
        <v>0.54</v>
      </c>
      <c r="C16" s="58">
        <v>0.62</v>
      </c>
      <c r="D16" s="58">
        <v>0.5</v>
      </c>
      <c r="E16" s="58">
        <v>0.55000000000000004</v>
      </c>
      <c r="F16" s="58">
        <v>0.54</v>
      </c>
      <c r="G16" s="58">
        <v>0.57999999999999996</v>
      </c>
      <c r="H16" s="58">
        <v>0.43</v>
      </c>
      <c r="I16" s="58">
        <v>0.44</v>
      </c>
      <c r="J16" s="58">
        <v>0.48</v>
      </c>
      <c r="K16" s="58">
        <v>0.48</v>
      </c>
      <c r="L16" s="58">
        <v>0.51</v>
      </c>
      <c r="M16" s="58">
        <v>0.56999999999999995</v>
      </c>
      <c r="N16" s="58">
        <v>0.33</v>
      </c>
      <c r="O16" s="58">
        <v>0.32</v>
      </c>
      <c r="P16" s="58">
        <v>0.38</v>
      </c>
      <c r="Q16" s="58">
        <v>0.42</v>
      </c>
      <c r="R16" s="58">
        <v>0.38</v>
      </c>
      <c r="S16" s="58">
        <v>0.42</v>
      </c>
    </row>
    <row r="17" spans="1:19" ht="15.75" customHeight="1" x14ac:dyDescent="0.3">
      <c r="A17" s="18" t="str">
        <f>Districts_Setup!$B$16</f>
        <v>Gandhinagar</v>
      </c>
      <c r="B17" s="58">
        <v>0.61</v>
      </c>
      <c r="C17" s="58">
        <v>0.66</v>
      </c>
      <c r="D17" s="58">
        <v>0.57999999999999996</v>
      </c>
      <c r="E17" s="58">
        <v>0.62</v>
      </c>
      <c r="F17" s="58">
        <v>0.51</v>
      </c>
      <c r="G17" s="58">
        <v>0.59</v>
      </c>
      <c r="H17" s="58">
        <v>0.43</v>
      </c>
      <c r="I17" s="58">
        <v>0.43</v>
      </c>
      <c r="J17" s="58">
        <v>0.48</v>
      </c>
      <c r="K17" s="58">
        <v>0.5</v>
      </c>
      <c r="L17" s="58">
        <v>0.57999999999999996</v>
      </c>
      <c r="M17" s="58">
        <v>0.61</v>
      </c>
      <c r="N17" s="58">
        <v>0.37</v>
      </c>
      <c r="O17" s="58">
        <v>0.36</v>
      </c>
      <c r="P17" s="58">
        <v>0.43</v>
      </c>
      <c r="Q17" s="58">
        <v>0.45</v>
      </c>
      <c r="R17" s="58">
        <v>0.41</v>
      </c>
      <c r="S17" s="58">
        <v>0.45</v>
      </c>
    </row>
    <row r="18" spans="1:19" ht="15.75" customHeight="1" x14ac:dyDescent="0.3">
      <c r="A18" s="18" t="str">
        <f>Districts_Setup!$B$17</f>
        <v>Gir Somnath</v>
      </c>
      <c r="B18" s="58">
        <v>0.48</v>
      </c>
      <c r="C18" s="58">
        <v>0.52</v>
      </c>
      <c r="D18" s="58">
        <v>0.45</v>
      </c>
      <c r="E18" s="58">
        <v>0.46</v>
      </c>
      <c r="F18" s="58">
        <v>0.46</v>
      </c>
      <c r="G18" s="58">
        <v>0.45</v>
      </c>
      <c r="H18" s="58">
        <v>0.42</v>
      </c>
      <c r="I18" s="58">
        <v>0.36</v>
      </c>
      <c r="J18" s="58">
        <v>0.41</v>
      </c>
      <c r="K18" s="58">
        <v>0.41</v>
      </c>
      <c r="L18" s="58">
        <v>0.43</v>
      </c>
      <c r="M18" s="58">
        <v>0.48</v>
      </c>
      <c r="N18" s="58">
        <v>0.3</v>
      </c>
      <c r="O18" s="58">
        <v>0.3</v>
      </c>
      <c r="P18" s="58">
        <v>0.35</v>
      </c>
      <c r="Q18" s="58">
        <v>0.37</v>
      </c>
      <c r="R18" s="58">
        <v>0.34</v>
      </c>
      <c r="S18" s="58">
        <v>0.38</v>
      </c>
    </row>
    <row r="19" spans="1:19" ht="15.75" customHeight="1" x14ac:dyDescent="0.3">
      <c r="A19" s="18" t="str">
        <f>Districts_Setup!$B$18</f>
        <v>Jamnagar</v>
      </c>
      <c r="B19" s="58">
        <v>0.49</v>
      </c>
      <c r="C19" s="58">
        <v>0.49</v>
      </c>
      <c r="D19" s="58">
        <v>0.45</v>
      </c>
      <c r="E19" s="58">
        <v>0.45</v>
      </c>
      <c r="F19" s="58">
        <v>0.46</v>
      </c>
      <c r="G19" s="58">
        <v>0.57999999999999996</v>
      </c>
      <c r="H19" s="58">
        <v>0.39</v>
      </c>
      <c r="I19" s="58">
        <v>0.41</v>
      </c>
      <c r="J19" s="58">
        <v>0.43</v>
      </c>
      <c r="K19" s="58">
        <v>0.49</v>
      </c>
      <c r="L19" s="58">
        <v>0.47</v>
      </c>
      <c r="M19" s="58">
        <v>0.6</v>
      </c>
      <c r="N19" s="58">
        <v>0.34</v>
      </c>
      <c r="O19" s="58">
        <v>0.32</v>
      </c>
      <c r="P19" s="58">
        <v>0.39</v>
      </c>
      <c r="Q19" s="58">
        <v>0.4</v>
      </c>
      <c r="R19" s="58">
        <v>0.36</v>
      </c>
      <c r="S19" s="58">
        <v>0.42</v>
      </c>
    </row>
    <row r="20" spans="1:19" ht="15.75" customHeight="1" x14ac:dyDescent="0.3">
      <c r="A20" s="18" t="str">
        <f>Districts_Setup!$B$19</f>
        <v>Junagadh</v>
      </c>
      <c r="B20" s="58">
        <v>0.56000000000000005</v>
      </c>
      <c r="C20" s="58">
        <v>0.59</v>
      </c>
      <c r="D20" s="58">
        <v>0.49</v>
      </c>
      <c r="E20" s="58">
        <v>0.52</v>
      </c>
      <c r="F20" s="58">
        <v>0.56000000000000005</v>
      </c>
      <c r="G20" s="58">
        <v>0.55000000000000004</v>
      </c>
      <c r="H20" s="58">
        <v>0.47</v>
      </c>
      <c r="I20" s="58">
        <v>0.4</v>
      </c>
      <c r="J20" s="58">
        <v>0.51</v>
      </c>
      <c r="K20" s="58">
        <v>0.44</v>
      </c>
      <c r="L20" s="58">
        <v>0.48</v>
      </c>
      <c r="M20" s="58">
        <v>0.56000000000000005</v>
      </c>
      <c r="N20" s="58">
        <v>0.33</v>
      </c>
      <c r="O20" s="58">
        <v>0.31</v>
      </c>
      <c r="P20" s="58">
        <v>0.39</v>
      </c>
      <c r="Q20" s="58">
        <v>0.41</v>
      </c>
      <c r="R20" s="58">
        <v>0.38</v>
      </c>
      <c r="S20" s="58">
        <v>0.41</v>
      </c>
    </row>
    <row r="21" spans="1:19" ht="15.75" customHeight="1" x14ac:dyDescent="0.3">
      <c r="A21" s="18" t="str">
        <f>Districts_Setup!$B$20</f>
        <v>Kutch</v>
      </c>
      <c r="B21" s="58">
        <v>0.51</v>
      </c>
      <c r="C21" s="58">
        <v>0.55000000000000004</v>
      </c>
      <c r="D21" s="58">
        <v>0.48</v>
      </c>
      <c r="E21" s="58">
        <v>0.5</v>
      </c>
      <c r="F21" s="58">
        <v>0.5</v>
      </c>
      <c r="G21" s="58">
        <v>0.53</v>
      </c>
      <c r="H21" s="58">
        <v>0.4</v>
      </c>
      <c r="I21" s="58">
        <v>0.4</v>
      </c>
      <c r="J21" s="58">
        <v>0.44</v>
      </c>
      <c r="K21" s="58">
        <v>0.46</v>
      </c>
      <c r="L21" s="58">
        <v>0.48</v>
      </c>
      <c r="M21" s="58">
        <v>0.6</v>
      </c>
      <c r="N21" s="58">
        <v>0.32</v>
      </c>
      <c r="O21" s="58">
        <v>0.34</v>
      </c>
      <c r="P21" s="58">
        <v>0.39</v>
      </c>
      <c r="Q21" s="58">
        <v>0.41</v>
      </c>
      <c r="R21" s="58">
        <v>0.36</v>
      </c>
      <c r="S21" s="58">
        <v>0.42</v>
      </c>
    </row>
    <row r="22" spans="1:19" ht="15.75" customHeight="1" x14ac:dyDescent="0.3">
      <c r="A22" s="18" t="str">
        <f>Districts_Setup!$B$21</f>
        <v>Kheda</v>
      </c>
      <c r="B22" s="58">
        <v>0.49</v>
      </c>
      <c r="C22" s="58">
        <v>0.55000000000000004</v>
      </c>
      <c r="D22" s="58">
        <v>0.44</v>
      </c>
      <c r="E22" s="58">
        <v>0.48</v>
      </c>
      <c r="F22" s="58">
        <v>0.42</v>
      </c>
      <c r="G22" s="58">
        <v>0.51</v>
      </c>
      <c r="H22" s="58">
        <v>0.33</v>
      </c>
      <c r="I22" s="58">
        <v>0.37</v>
      </c>
      <c r="J22" s="58">
        <v>0.4</v>
      </c>
      <c r="K22" s="58">
        <v>0.46</v>
      </c>
      <c r="L22" s="58">
        <v>0.42</v>
      </c>
      <c r="M22" s="58">
        <v>0.49</v>
      </c>
      <c r="N22" s="58">
        <v>0.28999999999999998</v>
      </c>
      <c r="O22" s="58">
        <v>0.28999999999999998</v>
      </c>
      <c r="P22" s="58">
        <v>0.35</v>
      </c>
      <c r="Q22" s="58">
        <v>0.37</v>
      </c>
      <c r="R22" s="58">
        <v>0.33</v>
      </c>
      <c r="S22" s="58">
        <v>0.35</v>
      </c>
    </row>
    <row r="23" spans="1:19" ht="15.75" customHeight="1" x14ac:dyDescent="0.3">
      <c r="A23" s="18" t="str">
        <f>Districts_Setup!$B$22</f>
        <v>Mahisagar</v>
      </c>
      <c r="B23" s="58">
        <v>0.56000000000000005</v>
      </c>
      <c r="C23" s="58">
        <v>0.62</v>
      </c>
      <c r="D23" s="58">
        <v>0.5</v>
      </c>
      <c r="E23" s="58">
        <v>0.54</v>
      </c>
      <c r="F23" s="58">
        <v>0.49</v>
      </c>
      <c r="G23" s="58">
        <v>0.5</v>
      </c>
      <c r="H23" s="58">
        <v>0.4</v>
      </c>
      <c r="I23" s="58">
        <v>0.4</v>
      </c>
      <c r="J23" s="58">
        <v>0.45</v>
      </c>
      <c r="K23" s="58">
        <v>0.43</v>
      </c>
      <c r="L23" s="58">
        <v>0.43</v>
      </c>
      <c r="M23" s="58">
        <v>0.46</v>
      </c>
      <c r="N23" s="58">
        <v>0.31</v>
      </c>
      <c r="O23" s="58">
        <v>0.3</v>
      </c>
      <c r="P23" s="58">
        <v>0.36</v>
      </c>
      <c r="Q23" s="58">
        <v>0.36</v>
      </c>
      <c r="R23" s="58">
        <v>0.32</v>
      </c>
      <c r="S23" s="58">
        <v>0.34</v>
      </c>
    </row>
    <row r="24" spans="1:19" ht="15.75" customHeight="1" x14ac:dyDescent="0.3">
      <c r="A24" s="18" t="str">
        <f>Districts_Setup!$B$23</f>
        <v>Mehsana</v>
      </c>
      <c r="B24" s="58">
        <v>0.56000000000000005</v>
      </c>
      <c r="C24" s="58">
        <v>0.59</v>
      </c>
      <c r="D24" s="58">
        <v>0.51</v>
      </c>
      <c r="E24" s="58">
        <v>0.54</v>
      </c>
      <c r="F24" s="58">
        <v>0.53</v>
      </c>
      <c r="G24" s="58">
        <v>0.59</v>
      </c>
      <c r="H24" s="58">
        <v>0.42</v>
      </c>
      <c r="I24" s="58">
        <v>0.43</v>
      </c>
      <c r="J24" s="58">
        <v>0.46</v>
      </c>
      <c r="K24" s="58">
        <v>0.48</v>
      </c>
      <c r="L24" s="58">
        <v>0.45</v>
      </c>
      <c r="M24" s="58">
        <v>0.56000000000000005</v>
      </c>
      <c r="N24" s="58">
        <v>0.31</v>
      </c>
      <c r="O24" s="58">
        <v>0.31</v>
      </c>
      <c r="P24" s="58">
        <v>0.36</v>
      </c>
      <c r="Q24" s="58">
        <v>0.39</v>
      </c>
      <c r="R24" s="58">
        <v>0.34</v>
      </c>
      <c r="S24" s="58">
        <v>0.41</v>
      </c>
    </row>
    <row r="25" spans="1:19" ht="15.75" customHeight="1" x14ac:dyDescent="0.3">
      <c r="A25" s="18" t="str">
        <f>Districts_Setup!$B$24</f>
        <v>Morbi</v>
      </c>
      <c r="B25" s="58">
        <v>0.59</v>
      </c>
      <c r="C25" s="58">
        <v>0.6</v>
      </c>
      <c r="D25" s="58">
        <v>0.53</v>
      </c>
      <c r="E25" s="58">
        <v>0.53</v>
      </c>
      <c r="F25" s="58">
        <v>0.5</v>
      </c>
      <c r="G25" s="58">
        <v>0.51</v>
      </c>
      <c r="H25" s="58">
        <v>0.42</v>
      </c>
      <c r="I25" s="58">
        <v>0.4</v>
      </c>
      <c r="J25" s="58">
        <v>0.45</v>
      </c>
      <c r="K25" s="58">
        <v>0.45</v>
      </c>
      <c r="L25" s="58">
        <v>0.45</v>
      </c>
      <c r="M25" s="58">
        <v>0.56000000000000005</v>
      </c>
      <c r="N25" s="58">
        <v>0.3</v>
      </c>
      <c r="O25" s="58">
        <v>0.31</v>
      </c>
      <c r="P25" s="58">
        <v>0.37</v>
      </c>
      <c r="Q25" s="58">
        <v>0.4</v>
      </c>
      <c r="R25" s="58">
        <v>0.35</v>
      </c>
      <c r="S25" s="58">
        <v>0.4</v>
      </c>
    </row>
    <row r="26" spans="1:19" ht="15.75" customHeight="1" x14ac:dyDescent="0.3">
      <c r="A26" s="18" t="str">
        <f>Districts_Setup!$B$25</f>
        <v>Narmada</v>
      </c>
      <c r="B26" s="58">
        <v>0.57999999999999996</v>
      </c>
      <c r="C26" s="58">
        <v>0.59</v>
      </c>
      <c r="D26" s="58">
        <v>0.52</v>
      </c>
      <c r="E26" s="58">
        <v>0.53</v>
      </c>
      <c r="F26" s="58">
        <v>0.46</v>
      </c>
      <c r="G26" s="58">
        <v>0.5</v>
      </c>
      <c r="H26" s="58">
        <v>0.38</v>
      </c>
      <c r="I26" s="58">
        <v>0.37</v>
      </c>
      <c r="J26" s="58">
        <v>0.43</v>
      </c>
      <c r="K26" s="58">
        <v>0.42</v>
      </c>
      <c r="L26" s="58">
        <v>0.47</v>
      </c>
      <c r="M26" s="58">
        <v>0.52</v>
      </c>
      <c r="N26" s="58">
        <v>0.28999999999999998</v>
      </c>
      <c r="O26" s="58">
        <v>0.28999999999999998</v>
      </c>
      <c r="P26" s="58">
        <v>0.35</v>
      </c>
      <c r="Q26" s="58">
        <v>0.39</v>
      </c>
      <c r="R26" s="58">
        <v>0.35</v>
      </c>
      <c r="S26" s="58">
        <v>0.37</v>
      </c>
    </row>
    <row r="27" spans="1:19" ht="15.75" customHeight="1" x14ac:dyDescent="0.3">
      <c r="A27" s="18" t="str">
        <f>Districts_Setup!$B$26</f>
        <v>Navsari</v>
      </c>
      <c r="B27" s="58">
        <v>0.55000000000000004</v>
      </c>
      <c r="C27" s="58">
        <v>0.54</v>
      </c>
      <c r="D27" s="58">
        <v>0.5</v>
      </c>
      <c r="E27" s="58">
        <v>0.5</v>
      </c>
      <c r="F27" s="58">
        <v>0.49</v>
      </c>
      <c r="G27" s="58">
        <v>0.55000000000000004</v>
      </c>
      <c r="H27" s="58">
        <v>0.4</v>
      </c>
      <c r="I27" s="58">
        <v>0.39</v>
      </c>
      <c r="J27" s="58">
        <v>0.44</v>
      </c>
      <c r="K27" s="58">
        <v>0.47</v>
      </c>
      <c r="L27" s="58">
        <v>0.48</v>
      </c>
      <c r="M27" s="58">
        <v>0.57999999999999996</v>
      </c>
      <c r="N27" s="58">
        <v>0.33</v>
      </c>
      <c r="O27" s="58">
        <v>0.34</v>
      </c>
      <c r="P27" s="58">
        <v>0.4</v>
      </c>
      <c r="Q27" s="58">
        <v>0.41</v>
      </c>
      <c r="R27" s="58">
        <v>0.37</v>
      </c>
      <c r="S27" s="58">
        <v>0.42</v>
      </c>
    </row>
    <row r="28" spans="1:19" ht="15.75" customHeight="1" x14ac:dyDescent="0.3">
      <c r="A28" s="18" t="str">
        <f>Districts_Setup!$B$27</f>
        <v>Panchmahal</v>
      </c>
      <c r="B28" s="58">
        <v>0.6</v>
      </c>
      <c r="C28" s="58">
        <v>0.59</v>
      </c>
      <c r="D28" s="58">
        <v>0.56999999999999995</v>
      </c>
      <c r="E28" s="58">
        <v>0.53</v>
      </c>
      <c r="F28" s="58">
        <v>0.5</v>
      </c>
      <c r="G28" s="58">
        <v>0.56000000000000005</v>
      </c>
      <c r="H28" s="58">
        <v>0.43</v>
      </c>
      <c r="I28" s="58">
        <v>0.41</v>
      </c>
      <c r="J28" s="58">
        <v>0.46</v>
      </c>
      <c r="K28" s="58">
        <v>0.46</v>
      </c>
      <c r="L28" s="58">
        <v>0.43</v>
      </c>
      <c r="M28" s="58">
        <v>0.46</v>
      </c>
      <c r="N28" s="58">
        <v>0.28999999999999998</v>
      </c>
      <c r="O28" s="58">
        <v>0.28999999999999998</v>
      </c>
      <c r="P28" s="58">
        <v>0.35</v>
      </c>
      <c r="Q28" s="58">
        <v>0.37</v>
      </c>
      <c r="R28" s="58">
        <v>0.33</v>
      </c>
      <c r="S28" s="58">
        <v>0.36</v>
      </c>
    </row>
    <row r="29" spans="1:19" ht="15.75" customHeight="1" x14ac:dyDescent="0.3">
      <c r="A29" s="18" t="str">
        <f>Districts_Setup!$B$28</f>
        <v>Patan</v>
      </c>
      <c r="B29" s="58">
        <v>0.52</v>
      </c>
      <c r="C29" s="58">
        <v>0.55000000000000004</v>
      </c>
      <c r="D29" s="58">
        <v>0.49</v>
      </c>
      <c r="E29" s="58">
        <v>0.49</v>
      </c>
      <c r="F29" s="58">
        <v>0.5</v>
      </c>
      <c r="G29" s="58">
        <v>0.54</v>
      </c>
      <c r="H29" s="58">
        <v>0.39</v>
      </c>
      <c r="I29" s="58">
        <v>0.42</v>
      </c>
      <c r="J29" s="58">
        <v>0.45</v>
      </c>
      <c r="K29" s="58">
        <v>0.48</v>
      </c>
      <c r="L29" s="58">
        <v>0.45</v>
      </c>
      <c r="M29" s="58">
        <v>0.52</v>
      </c>
      <c r="N29" s="58">
        <v>0.31</v>
      </c>
      <c r="O29" s="58">
        <v>0.31</v>
      </c>
      <c r="P29" s="58">
        <v>0.38</v>
      </c>
      <c r="Q29" s="58">
        <v>0.38</v>
      </c>
      <c r="R29" s="58">
        <v>0.35</v>
      </c>
      <c r="S29" s="58">
        <v>0.39</v>
      </c>
    </row>
    <row r="30" spans="1:19" ht="15.75" customHeight="1" x14ac:dyDescent="0.3">
      <c r="A30" s="18" t="str">
        <f>Districts_Setup!$B$29</f>
        <v>Porbandar</v>
      </c>
      <c r="B30" s="58">
        <v>0.48</v>
      </c>
      <c r="C30" s="58">
        <v>0.54</v>
      </c>
      <c r="D30" s="58">
        <v>0.45</v>
      </c>
      <c r="E30" s="58">
        <v>0.5</v>
      </c>
      <c r="F30" s="58">
        <v>0.49</v>
      </c>
      <c r="G30" s="58">
        <v>0.55000000000000004</v>
      </c>
      <c r="H30" s="58">
        <v>0.38</v>
      </c>
      <c r="I30" s="58">
        <v>0.39</v>
      </c>
      <c r="J30" s="58">
        <v>0.43</v>
      </c>
      <c r="K30" s="58">
        <v>0.47</v>
      </c>
      <c r="L30" s="58">
        <v>0.44</v>
      </c>
      <c r="M30" s="58">
        <v>0.55000000000000004</v>
      </c>
      <c r="N30" s="58">
        <v>0.3</v>
      </c>
      <c r="O30" s="58">
        <v>0.3</v>
      </c>
      <c r="P30" s="58">
        <v>0.36</v>
      </c>
      <c r="Q30" s="58">
        <v>0.39</v>
      </c>
      <c r="R30" s="58">
        <v>0.34</v>
      </c>
      <c r="S30" s="58">
        <v>0.39</v>
      </c>
    </row>
    <row r="31" spans="1:19" ht="15.75" customHeight="1" x14ac:dyDescent="0.3">
      <c r="A31" s="18" t="str">
        <f>Districts_Setup!$B$30</f>
        <v>Rajkot</v>
      </c>
      <c r="B31" s="58">
        <v>0.59</v>
      </c>
      <c r="C31" s="58">
        <v>0.55000000000000004</v>
      </c>
      <c r="D31" s="58">
        <v>0.53</v>
      </c>
      <c r="E31" s="58">
        <v>0.5</v>
      </c>
      <c r="F31" s="58">
        <v>0.48</v>
      </c>
      <c r="G31" s="58">
        <v>0.5</v>
      </c>
      <c r="H31" s="58">
        <v>0.41</v>
      </c>
      <c r="I31" s="58">
        <v>0.4</v>
      </c>
      <c r="J31" s="58">
        <v>0.44</v>
      </c>
      <c r="K31" s="58">
        <v>0.45</v>
      </c>
      <c r="L31" s="58">
        <v>0.48</v>
      </c>
      <c r="M31" s="58">
        <v>0.57999999999999996</v>
      </c>
      <c r="N31" s="58">
        <v>0.34</v>
      </c>
      <c r="O31" s="58">
        <v>0.33</v>
      </c>
      <c r="P31" s="58">
        <v>0.38</v>
      </c>
      <c r="Q31" s="58">
        <v>0.42</v>
      </c>
      <c r="R31" s="58">
        <v>0.37</v>
      </c>
      <c r="S31" s="58">
        <v>0.42</v>
      </c>
    </row>
    <row r="32" spans="1:19" ht="15.75" customHeight="1" x14ac:dyDescent="0.3">
      <c r="A32" s="18" t="str">
        <f>Districts_Setup!$B$31</f>
        <v>Sabarkantha</v>
      </c>
      <c r="B32" s="58">
        <v>0.61</v>
      </c>
      <c r="C32" s="58">
        <v>0.65</v>
      </c>
      <c r="D32" s="58">
        <v>0.56999999999999995</v>
      </c>
      <c r="E32" s="58">
        <v>0.6</v>
      </c>
      <c r="F32" s="58">
        <v>0.47</v>
      </c>
      <c r="G32" s="58">
        <v>0.52</v>
      </c>
      <c r="H32" s="58">
        <v>0.4</v>
      </c>
      <c r="I32" s="58">
        <v>0.39</v>
      </c>
      <c r="J32" s="58">
        <v>0.43</v>
      </c>
      <c r="K32" s="58">
        <v>0.44</v>
      </c>
      <c r="L32" s="58">
        <v>0.46</v>
      </c>
      <c r="M32" s="58">
        <v>0.52</v>
      </c>
      <c r="N32" s="58">
        <v>0.32</v>
      </c>
      <c r="O32" s="58">
        <v>0.31</v>
      </c>
      <c r="P32" s="58">
        <v>0.36</v>
      </c>
      <c r="Q32" s="58">
        <v>0.37</v>
      </c>
      <c r="R32" s="58">
        <v>0.36</v>
      </c>
      <c r="S32" s="58">
        <v>0.38</v>
      </c>
    </row>
    <row r="33" spans="1:19" ht="15.75" customHeight="1" x14ac:dyDescent="0.3">
      <c r="A33" s="18" t="str">
        <f>Districts_Setup!$B$32</f>
        <v>Surat</v>
      </c>
      <c r="B33" s="58">
        <v>0.54</v>
      </c>
      <c r="C33" s="58">
        <v>0.57999999999999996</v>
      </c>
      <c r="D33" s="58">
        <v>0.5</v>
      </c>
      <c r="E33" s="58">
        <v>0.5</v>
      </c>
      <c r="F33" s="58">
        <v>0.53</v>
      </c>
      <c r="G33" s="58">
        <v>0.56999999999999995</v>
      </c>
      <c r="H33" s="58">
        <v>0.44</v>
      </c>
      <c r="I33" s="58">
        <v>0.42</v>
      </c>
      <c r="J33" s="58">
        <v>0.46</v>
      </c>
      <c r="K33" s="58">
        <v>0.47</v>
      </c>
      <c r="L33" s="58">
        <v>0.55000000000000004</v>
      </c>
      <c r="M33" s="58">
        <v>0.56999999999999995</v>
      </c>
      <c r="N33" s="58">
        <v>0.36</v>
      </c>
      <c r="O33" s="58">
        <v>0.34</v>
      </c>
      <c r="P33" s="58">
        <v>0.41</v>
      </c>
      <c r="Q33" s="58">
        <v>0.41</v>
      </c>
      <c r="R33" s="58">
        <v>0.41</v>
      </c>
      <c r="S33" s="58">
        <v>0.41</v>
      </c>
    </row>
    <row r="34" spans="1:19" ht="15.75" customHeight="1" x14ac:dyDescent="0.3">
      <c r="A34" s="18" t="str">
        <f>Districts_Setup!$B$33</f>
        <v>Surendranagar</v>
      </c>
      <c r="B34" s="58">
        <v>0.6</v>
      </c>
      <c r="C34" s="58">
        <v>0.64</v>
      </c>
      <c r="D34" s="58">
        <v>0.54</v>
      </c>
      <c r="E34" s="58">
        <v>0.56000000000000005</v>
      </c>
      <c r="F34" s="58">
        <v>0.56000000000000005</v>
      </c>
      <c r="G34" s="58">
        <v>0.56999999999999995</v>
      </c>
      <c r="H34" s="58">
        <v>0.46</v>
      </c>
      <c r="I34" s="58">
        <v>0.42</v>
      </c>
      <c r="J34" s="58">
        <v>0.49</v>
      </c>
      <c r="K34" s="58">
        <v>0.5</v>
      </c>
      <c r="L34" s="58">
        <v>0.43</v>
      </c>
      <c r="M34" s="58">
        <v>0.49</v>
      </c>
      <c r="N34" s="58">
        <v>0.3</v>
      </c>
      <c r="O34" s="58">
        <v>0.31</v>
      </c>
      <c r="P34" s="58">
        <v>0.35</v>
      </c>
      <c r="Q34" s="58">
        <v>0.37</v>
      </c>
      <c r="R34" s="58">
        <v>0.33</v>
      </c>
      <c r="S34" s="58">
        <v>0.38</v>
      </c>
    </row>
    <row r="35" spans="1:19" ht="15.75" customHeight="1" x14ac:dyDescent="0.3">
      <c r="A35" s="18" t="str">
        <f>Districts_Setup!$B$34</f>
        <v>Tapi</v>
      </c>
      <c r="B35" s="58">
        <v>0.61</v>
      </c>
      <c r="C35" s="58">
        <v>0.63</v>
      </c>
      <c r="D35" s="58">
        <v>0.56000000000000005</v>
      </c>
      <c r="E35" s="58">
        <v>0.59</v>
      </c>
      <c r="F35" s="58">
        <v>0.49</v>
      </c>
      <c r="G35" s="58">
        <v>0.59</v>
      </c>
      <c r="H35" s="58">
        <v>0.41</v>
      </c>
      <c r="I35" s="58">
        <v>0.45</v>
      </c>
      <c r="J35" s="58">
        <v>0.48</v>
      </c>
      <c r="K35" s="58">
        <v>0.51</v>
      </c>
      <c r="L35" s="58">
        <v>0.49</v>
      </c>
      <c r="M35" s="58">
        <v>0.56999999999999995</v>
      </c>
      <c r="N35" s="58">
        <v>0.31</v>
      </c>
      <c r="O35" s="58">
        <v>0.31</v>
      </c>
      <c r="P35" s="58">
        <v>0.38</v>
      </c>
      <c r="Q35" s="58">
        <v>0.4</v>
      </c>
      <c r="R35" s="58">
        <v>0.36</v>
      </c>
      <c r="S35" s="58">
        <v>0.41</v>
      </c>
    </row>
    <row r="36" spans="1:19" ht="15.75" customHeight="1" x14ac:dyDescent="0.3">
      <c r="A36" s="18" t="str">
        <f>Districts_Setup!$B$35</f>
        <v>Vadodara</v>
      </c>
      <c r="B36" s="58">
        <v>0.53</v>
      </c>
      <c r="C36" s="58">
        <v>0.51</v>
      </c>
      <c r="D36" s="58">
        <v>0.49</v>
      </c>
      <c r="E36" s="58">
        <v>0.47</v>
      </c>
      <c r="F36" s="58">
        <v>0.5</v>
      </c>
      <c r="G36" s="58">
        <v>0.57999999999999996</v>
      </c>
      <c r="H36" s="58">
        <v>0.41</v>
      </c>
      <c r="I36" s="58">
        <v>0.43</v>
      </c>
      <c r="J36" s="58">
        <v>0.44</v>
      </c>
      <c r="K36" s="58">
        <v>0.48</v>
      </c>
      <c r="L36" s="58">
        <v>0.49</v>
      </c>
      <c r="M36" s="58">
        <v>0.62</v>
      </c>
      <c r="N36" s="58">
        <v>0.34</v>
      </c>
      <c r="O36" s="58">
        <v>0.35</v>
      </c>
      <c r="P36" s="58">
        <v>0.42</v>
      </c>
      <c r="Q36" s="58">
        <v>0.43</v>
      </c>
      <c r="R36" s="58">
        <v>0.39</v>
      </c>
      <c r="S36" s="58">
        <v>0.43</v>
      </c>
    </row>
    <row r="37" spans="1:19" ht="15.75" customHeight="1" x14ac:dyDescent="0.3">
      <c r="A37" s="18" t="str">
        <f>Districts_Setup!$B$36</f>
        <v>Valsad</v>
      </c>
      <c r="B37" s="58">
        <v>0.55000000000000004</v>
      </c>
      <c r="C37" s="58">
        <v>0.63</v>
      </c>
      <c r="D37" s="58">
        <v>0.5</v>
      </c>
      <c r="E37" s="58">
        <v>0.56000000000000005</v>
      </c>
      <c r="F37" s="58">
        <v>0.49</v>
      </c>
      <c r="G37" s="58">
        <v>0.55000000000000004</v>
      </c>
      <c r="H37" s="58">
        <v>0.4</v>
      </c>
      <c r="I37" s="58">
        <v>0.4</v>
      </c>
      <c r="J37" s="58">
        <v>0.44</v>
      </c>
      <c r="K37" s="58">
        <v>0.45</v>
      </c>
      <c r="L37" s="58">
        <v>0.47</v>
      </c>
      <c r="M37" s="58">
        <v>0.53</v>
      </c>
      <c r="N37" s="58">
        <v>0.32</v>
      </c>
      <c r="O37" s="58">
        <v>0.31</v>
      </c>
      <c r="P37" s="58">
        <v>0.39</v>
      </c>
      <c r="Q37" s="58">
        <v>0.38</v>
      </c>
      <c r="R37" s="58">
        <v>0.37</v>
      </c>
      <c r="S37" s="58">
        <v>0.39</v>
      </c>
    </row>
  </sheetData>
  <mergeCells count="12">
    <mergeCell ref="A1:S1"/>
    <mergeCell ref="A2:S2"/>
    <mergeCell ref="A3:A4"/>
    <mergeCell ref="B3:C3"/>
    <mergeCell ref="D3:E3"/>
    <mergeCell ref="F3:G3"/>
    <mergeCell ref="H3:I3"/>
    <mergeCell ref="J3:K3"/>
    <mergeCell ref="L3:M3"/>
    <mergeCell ref="N3:O3"/>
    <mergeCell ref="P3:Q3"/>
    <mergeCell ref="R3:S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S37"/>
  <sheetViews>
    <sheetView showGridLines="0" zoomScaleNormal="100" workbookViewId="0">
      <pane xSplit="1" ySplit="4" topLeftCell="B5" activePane="bottomRight" state="frozen"/>
      <selection pane="topRight" activeCell="B1" sqref="B1"/>
      <selection pane="bottomLeft" activeCell="A5" sqref="A5"/>
      <selection pane="bottomRight" activeCell="E49" sqref="E49"/>
    </sheetView>
  </sheetViews>
  <sheetFormatPr defaultColWidth="8.6640625" defaultRowHeight="15.6" x14ac:dyDescent="0.3"/>
  <cols>
    <col min="1" max="1" width="18" style="11" customWidth="1"/>
    <col min="2" max="19" width="14" style="11" customWidth="1"/>
    <col min="20" max="16384" width="8.6640625" style="11"/>
  </cols>
  <sheetData>
    <row r="1" spans="1:19" ht="25.5" customHeight="1" x14ac:dyDescent="0.3">
      <c r="A1" s="93" t="s">
        <v>787</v>
      </c>
      <c r="B1" s="93"/>
      <c r="C1" s="93"/>
      <c r="D1" s="93"/>
      <c r="E1" s="93"/>
      <c r="F1" s="93"/>
      <c r="G1" s="93"/>
      <c r="H1" s="93"/>
      <c r="I1" s="93"/>
      <c r="J1" s="93"/>
      <c r="K1" s="93"/>
      <c r="L1" s="93"/>
      <c r="M1" s="93"/>
      <c r="N1" s="93"/>
      <c r="O1" s="93"/>
      <c r="P1" s="93"/>
      <c r="Q1" s="93"/>
      <c r="R1" s="93"/>
      <c r="S1" s="93"/>
    </row>
    <row r="2" spans="1:19" x14ac:dyDescent="0.3">
      <c r="A2" s="80" t="s">
        <v>632</v>
      </c>
      <c r="B2" s="80"/>
      <c r="C2" s="80"/>
      <c r="D2" s="80"/>
      <c r="E2" s="80"/>
      <c r="F2" s="80"/>
      <c r="G2" s="80"/>
      <c r="H2" s="80"/>
      <c r="I2" s="80"/>
      <c r="J2" s="80"/>
      <c r="K2" s="80"/>
      <c r="L2" s="80"/>
      <c r="M2" s="80"/>
      <c r="N2" s="80"/>
      <c r="O2" s="80"/>
      <c r="P2" s="80"/>
      <c r="Q2" s="80"/>
      <c r="R2" s="80"/>
      <c r="S2" s="80"/>
    </row>
    <row r="3" spans="1:19" ht="25.5" customHeight="1" x14ac:dyDescent="0.3">
      <c r="A3" s="94" t="s">
        <v>619</v>
      </c>
      <c r="B3" s="95" t="s">
        <v>620</v>
      </c>
      <c r="C3" s="95"/>
      <c r="D3" s="95" t="s">
        <v>621</v>
      </c>
      <c r="E3" s="95"/>
      <c r="F3" s="95" t="s">
        <v>622</v>
      </c>
      <c r="G3" s="95"/>
      <c r="H3" s="95" t="s">
        <v>623</v>
      </c>
      <c r="I3" s="95"/>
      <c r="J3" s="95" t="s">
        <v>788</v>
      </c>
      <c r="K3" s="95"/>
      <c r="L3" s="95" t="s">
        <v>625</v>
      </c>
      <c r="M3" s="95"/>
      <c r="N3" s="95" t="s">
        <v>626</v>
      </c>
      <c r="O3" s="95"/>
      <c r="P3" s="95" t="s">
        <v>627</v>
      </c>
      <c r="Q3" s="95"/>
      <c r="R3" s="95" t="s">
        <v>628</v>
      </c>
      <c r="S3" s="95"/>
    </row>
    <row r="4" spans="1:19" ht="25.5" customHeight="1" x14ac:dyDescent="0.3">
      <c r="A4" s="94"/>
      <c r="B4" s="36" t="s">
        <v>633</v>
      </c>
      <c r="C4" s="36" t="s">
        <v>634</v>
      </c>
      <c r="D4" s="36" t="s">
        <v>633</v>
      </c>
      <c r="E4" s="36" t="s">
        <v>634</v>
      </c>
      <c r="F4" s="36" t="s">
        <v>633</v>
      </c>
      <c r="G4" s="36" t="s">
        <v>634</v>
      </c>
      <c r="H4" s="36" t="s">
        <v>633</v>
      </c>
      <c r="I4" s="36" t="s">
        <v>634</v>
      </c>
      <c r="J4" s="36" t="s">
        <v>633</v>
      </c>
      <c r="K4" s="36" t="s">
        <v>634</v>
      </c>
      <c r="L4" s="36" t="s">
        <v>633</v>
      </c>
      <c r="M4" s="36" t="s">
        <v>634</v>
      </c>
      <c r="N4" s="36" t="s">
        <v>633</v>
      </c>
      <c r="O4" s="36" t="s">
        <v>634</v>
      </c>
      <c r="P4" s="36" t="s">
        <v>633</v>
      </c>
      <c r="Q4" s="36" t="s">
        <v>634</v>
      </c>
      <c r="R4" s="36" t="s">
        <v>633</v>
      </c>
      <c r="S4" s="36" t="s">
        <v>634</v>
      </c>
    </row>
    <row r="5" spans="1:19" ht="15.75" customHeight="1" x14ac:dyDescent="0.3">
      <c r="A5" s="18" t="str">
        <f>Districts_Setup!$B$4</f>
        <v>Ahmedabad</v>
      </c>
      <c r="B5" s="58">
        <v>0.7</v>
      </c>
      <c r="C5" s="58">
        <v>0.56999999999999995</v>
      </c>
      <c r="D5" s="58">
        <v>0.62</v>
      </c>
      <c r="E5" s="58">
        <v>0.52</v>
      </c>
      <c r="F5" s="58">
        <v>0.56000000000000005</v>
      </c>
      <c r="G5" s="58">
        <v>0.5</v>
      </c>
      <c r="H5" s="58">
        <v>0.41</v>
      </c>
      <c r="I5" s="58">
        <v>0.4</v>
      </c>
      <c r="J5" s="58">
        <v>0.48</v>
      </c>
      <c r="K5" s="58">
        <v>0.45</v>
      </c>
      <c r="L5" s="58">
        <v>0.45</v>
      </c>
      <c r="M5" s="58">
        <v>0.51</v>
      </c>
      <c r="N5" s="58">
        <v>0.3</v>
      </c>
      <c r="O5" s="58">
        <v>0.35</v>
      </c>
      <c r="P5" s="58">
        <v>0.36</v>
      </c>
      <c r="Q5" s="58">
        <v>0.4</v>
      </c>
      <c r="R5" s="58">
        <v>0.34</v>
      </c>
      <c r="S5" s="58">
        <v>0.39</v>
      </c>
    </row>
    <row r="6" spans="1:19" ht="15.75" customHeight="1" x14ac:dyDescent="0.3">
      <c r="A6" s="18" t="str">
        <f>Districts_Setup!$B$5</f>
        <v>Amreli</v>
      </c>
      <c r="B6" s="58">
        <v>0.55000000000000004</v>
      </c>
      <c r="C6" s="58">
        <v>0.55000000000000004</v>
      </c>
      <c r="D6" s="58">
        <v>0.5</v>
      </c>
      <c r="E6" s="58">
        <v>0.49</v>
      </c>
      <c r="F6" s="58">
        <v>0.5</v>
      </c>
      <c r="G6" s="58">
        <v>0.46</v>
      </c>
      <c r="H6" s="58">
        <v>0.36</v>
      </c>
      <c r="I6" s="58">
        <v>0.34</v>
      </c>
      <c r="J6" s="58">
        <v>0.41</v>
      </c>
      <c r="K6" s="58">
        <v>0.42</v>
      </c>
      <c r="L6" s="58">
        <v>0.49</v>
      </c>
      <c r="M6" s="58">
        <v>0.5</v>
      </c>
      <c r="N6" s="58">
        <v>0.28999999999999998</v>
      </c>
      <c r="O6" s="58">
        <v>0.3</v>
      </c>
      <c r="P6" s="58">
        <v>0.38</v>
      </c>
      <c r="Q6" s="58">
        <v>0.38</v>
      </c>
      <c r="R6" s="58">
        <v>0.38</v>
      </c>
      <c r="S6" s="58">
        <v>0.37</v>
      </c>
    </row>
    <row r="7" spans="1:19" ht="15.75" customHeight="1" x14ac:dyDescent="0.3">
      <c r="A7" s="18" t="str">
        <f>Districts_Setup!$B$6</f>
        <v>Anand</v>
      </c>
      <c r="B7" s="58">
        <v>0.56000000000000005</v>
      </c>
      <c r="C7" s="58">
        <v>0.63</v>
      </c>
      <c r="D7" s="58">
        <v>0.5</v>
      </c>
      <c r="E7" s="58">
        <v>0.54</v>
      </c>
      <c r="F7" s="58">
        <v>0.51</v>
      </c>
      <c r="G7" s="58">
        <v>0.56000000000000005</v>
      </c>
      <c r="H7" s="58">
        <v>0.4</v>
      </c>
      <c r="I7" s="58">
        <v>0.43</v>
      </c>
      <c r="J7" s="58">
        <v>0.45</v>
      </c>
      <c r="K7" s="58">
        <v>0.48</v>
      </c>
      <c r="L7" s="58">
        <v>0.47</v>
      </c>
      <c r="M7" s="58">
        <v>0.51</v>
      </c>
      <c r="N7" s="58">
        <v>0.3</v>
      </c>
      <c r="O7" s="58">
        <v>0.33</v>
      </c>
      <c r="P7" s="58">
        <v>0.36</v>
      </c>
      <c r="Q7" s="58">
        <v>0.4</v>
      </c>
      <c r="R7" s="58">
        <v>0.35</v>
      </c>
      <c r="S7" s="58">
        <v>0.38</v>
      </c>
    </row>
    <row r="8" spans="1:19" ht="15.75" customHeight="1" x14ac:dyDescent="0.3">
      <c r="A8" s="18" t="str">
        <f>Districts_Setup!$B$7</f>
        <v>Aravalli</v>
      </c>
      <c r="B8" s="58">
        <v>0.53</v>
      </c>
      <c r="C8" s="58">
        <v>0.46</v>
      </c>
      <c r="D8" s="58">
        <v>0.5</v>
      </c>
      <c r="E8" s="58">
        <v>0.41</v>
      </c>
      <c r="F8" s="58">
        <v>0.49</v>
      </c>
      <c r="G8" s="58">
        <v>0.48</v>
      </c>
      <c r="H8" s="58">
        <v>0.38</v>
      </c>
      <c r="I8" s="58">
        <v>0.35</v>
      </c>
      <c r="J8" s="58">
        <v>0.43</v>
      </c>
      <c r="K8" s="58">
        <v>0.42</v>
      </c>
      <c r="L8" s="58">
        <v>0.44</v>
      </c>
      <c r="M8" s="58">
        <v>0.47</v>
      </c>
      <c r="N8" s="58">
        <v>0.28999999999999998</v>
      </c>
      <c r="O8" s="58">
        <v>0.33</v>
      </c>
      <c r="P8" s="58">
        <v>0.36</v>
      </c>
      <c r="Q8" s="58">
        <v>0.37</v>
      </c>
      <c r="R8" s="58">
        <v>0.34</v>
      </c>
      <c r="S8" s="58">
        <v>0.37</v>
      </c>
    </row>
    <row r="9" spans="1:19" ht="15.75" customHeight="1" x14ac:dyDescent="0.3">
      <c r="A9" s="18" t="str">
        <f>Districts_Setup!$B$8</f>
        <v>Banaskantha</v>
      </c>
      <c r="B9" s="58">
        <v>0.52</v>
      </c>
      <c r="C9" s="58">
        <v>0.57999999999999996</v>
      </c>
      <c r="D9" s="58">
        <v>0.48</v>
      </c>
      <c r="E9" s="58">
        <v>0.52</v>
      </c>
      <c r="F9" s="58">
        <v>0.5</v>
      </c>
      <c r="G9" s="58">
        <v>0.56999999999999995</v>
      </c>
      <c r="H9" s="58">
        <v>0.39</v>
      </c>
      <c r="I9" s="58">
        <v>0.43</v>
      </c>
      <c r="J9" s="58">
        <v>0.44</v>
      </c>
      <c r="K9" s="58">
        <v>0.49</v>
      </c>
      <c r="L9" s="58">
        <v>0.5</v>
      </c>
      <c r="M9" s="58">
        <v>0.54</v>
      </c>
      <c r="N9" s="58">
        <v>0.3</v>
      </c>
      <c r="O9" s="58">
        <v>0.36</v>
      </c>
      <c r="P9" s="58">
        <v>0.36</v>
      </c>
      <c r="Q9" s="58">
        <v>0.43</v>
      </c>
      <c r="R9" s="58">
        <v>0.37</v>
      </c>
      <c r="S9" s="58">
        <v>0.41</v>
      </c>
    </row>
    <row r="10" spans="1:19" ht="15.75" customHeight="1" x14ac:dyDescent="0.3">
      <c r="A10" s="18" t="str">
        <f>Districts_Setup!$B$9</f>
        <v>Bharuch</v>
      </c>
      <c r="B10" s="58">
        <v>0.57999999999999996</v>
      </c>
      <c r="C10" s="58">
        <v>0.59</v>
      </c>
      <c r="D10" s="58">
        <v>0.53</v>
      </c>
      <c r="E10" s="58">
        <v>0.55000000000000004</v>
      </c>
      <c r="F10" s="58">
        <v>0.45</v>
      </c>
      <c r="G10" s="58">
        <v>0.49</v>
      </c>
      <c r="H10" s="58">
        <v>0.36</v>
      </c>
      <c r="I10" s="58">
        <v>0.39</v>
      </c>
      <c r="J10" s="58">
        <v>0.41</v>
      </c>
      <c r="K10" s="58">
        <v>0.45</v>
      </c>
      <c r="L10" s="58">
        <v>0.53</v>
      </c>
      <c r="M10" s="58">
        <v>0.42</v>
      </c>
      <c r="N10" s="58">
        <v>0.33</v>
      </c>
      <c r="O10" s="58">
        <v>0.27</v>
      </c>
      <c r="P10" s="58">
        <v>0.39</v>
      </c>
      <c r="Q10" s="58">
        <v>0.33</v>
      </c>
      <c r="R10" s="58">
        <v>0.38</v>
      </c>
      <c r="S10" s="58">
        <v>0.32</v>
      </c>
    </row>
    <row r="11" spans="1:19" ht="15.75" customHeight="1" x14ac:dyDescent="0.3">
      <c r="A11" s="18" t="str">
        <f>Districts_Setup!$B$10</f>
        <v>Bhavnagar</v>
      </c>
      <c r="B11" s="58">
        <v>0.57999999999999996</v>
      </c>
      <c r="C11" s="58">
        <v>0.68</v>
      </c>
      <c r="D11" s="58">
        <v>0.52</v>
      </c>
      <c r="E11" s="58">
        <v>0.61</v>
      </c>
      <c r="F11" s="58">
        <v>0.51</v>
      </c>
      <c r="G11" s="58">
        <v>0.54</v>
      </c>
      <c r="H11" s="58">
        <v>0.39</v>
      </c>
      <c r="I11" s="58">
        <v>0.41</v>
      </c>
      <c r="J11" s="58">
        <v>0.45</v>
      </c>
      <c r="K11" s="58">
        <v>0.49</v>
      </c>
      <c r="L11" s="58">
        <v>0.52</v>
      </c>
      <c r="M11" s="58">
        <v>0.55000000000000004</v>
      </c>
      <c r="N11" s="58">
        <v>0.3</v>
      </c>
      <c r="O11" s="58">
        <v>0.35</v>
      </c>
      <c r="P11" s="58">
        <v>0.37</v>
      </c>
      <c r="Q11" s="58">
        <v>0.43</v>
      </c>
      <c r="R11" s="58">
        <v>0.38</v>
      </c>
      <c r="S11" s="58">
        <v>0.42</v>
      </c>
    </row>
    <row r="12" spans="1:19" ht="15.75" customHeight="1" x14ac:dyDescent="0.3">
      <c r="A12" s="18" t="str">
        <f>Districts_Setup!$B$11</f>
        <v>Botad</v>
      </c>
      <c r="B12" s="58">
        <v>0.6</v>
      </c>
      <c r="C12" s="58">
        <v>0.54</v>
      </c>
      <c r="D12" s="58">
        <v>0.55000000000000004</v>
      </c>
      <c r="E12" s="58">
        <v>0.45</v>
      </c>
      <c r="F12" s="58">
        <v>0.51</v>
      </c>
      <c r="G12" s="58">
        <v>0.49</v>
      </c>
      <c r="H12" s="58">
        <v>0.39</v>
      </c>
      <c r="I12" s="58">
        <v>0.38</v>
      </c>
      <c r="J12" s="58">
        <v>0.44</v>
      </c>
      <c r="K12" s="58">
        <v>0.43</v>
      </c>
      <c r="L12" s="58">
        <v>0.47</v>
      </c>
      <c r="M12" s="58">
        <v>0.5</v>
      </c>
      <c r="N12" s="58">
        <v>0.28999999999999998</v>
      </c>
      <c r="O12" s="58">
        <v>0.3</v>
      </c>
      <c r="P12" s="58">
        <v>0.37</v>
      </c>
      <c r="Q12" s="58">
        <v>0.38</v>
      </c>
      <c r="R12" s="58">
        <v>0.35</v>
      </c>
      <c r="S12" s="58">
        <v>0.39</v>
      </c>
    </row>
    <row r="13" spans="1:19" ht="15.75" customHeight="1" x14ac:dyDescent="0.3">
      <c r="A13" s="18" t="str">
        <f>Districts_Setup!$B$12</f>
        <v>Chhota Udepur</v>
      </c>
      <c r="B13" s="58">
        <v>0.53</v>
      </c>
      <c r="C13" s="58">
        <v>0.41</v>
      </c>
      <c r="D13" s="58">
        <v>0.48</v>
      </c>
      <c r="E13" s="58">
        <v>0.36</v>
      </c>
      <c r="F13" s="58">
        <v>0.47</v>
      </c>
      <c r="G13" s="58">
        <v>0.37</v>
      </c>
      <c r="H13" s="58">
        <v>0.35</v>
      </c>
      <c r="I13" s="58">
        <v>0.27</v>
      </c>
      <c r="J13" s="58">
        <v>0.43</v>
      </c>
      <c r="K13" s="58">
        <v>0.31</v>
      </c>
      <c r="L13" s="58">
        <v>0.44</v>
      </c>
      <c r="M13" s="58">
        <v>0.37</v>
      </c>
      <c r="N13" s="58">
        <v>0.28999999999999998</v>
      </c>
      <c r="O13" s="58">
        <v>0.32</v>
      </c>
      <c r="P13" s="58">
        <v>0.35</v>
      </c>
      <c r="Q13" s="58">
        <v>0.32</v>
      </c>
      <c r="R13" s="58">
        <v>0.35</v>
      </c>
      <c r="S13" s="58">
        <v>0.32</v>
      </c>
    </row>
    <row r="14" spans="1:19" ht="15.75" customHeight="1" x14ac:dyDescent="0.3">
      <c r="A14" s="18" t="str">
        <f>Districts_Setup!$B$13</f>
        <v>Dahod</v>
      </c>
      <c r="B14" s="58">
        <v>0.59</v>
      </c>
      <c r="C14" s="58">
        <v>0.61</v>
      </c>
      <c r="D14" s="58">
        <v>0.53</v>
      </c>
      <c r="E14" s="58">
        <v>0.56000000000000005</v>
      </c>
      <c r="F14" s="58">
        <v>0.45</v>
      </c>
      <c r="G14" s="58">
        <v>0.55000000000000004</v>
      </c>
      <c r="H14" s="58">
        <v>0.39</v>
      </c>
      <c r="I14" s="58">
        <v>0.46</v>
      </c>
      <c r="J14" s="58">
        <v>0.42</v>
      </c>
      <c r="K14" s="58">
        <v>0.51</v>
      </c>
      <c r="L14" s="58">
        <v>0.38</v>
      </c>
      <c r="M14" s="58">
        <v>0.51</v>
      </c>
      <c r="N14" s="58">
        <v>0.28000000000000003</v>
      </c>
      <c r="O14" s="58">
        <v>0.33</v>
      </c>
      <c r="P14" s="58">
        <v>0.3</v>
      </c>
      <c r="Q14" s="58">
        <v>0.36</v>
      </c>
      <c r="R14" s="58">
        <v>0.3</v>
      </c>
      <c r="S14" s="58">
        <v>0.35</v>
      </c>
    </row>
    <row r="15" spans="1:19" ht="15.75" customHeight="1" x14ac:dyDescent="0.3">
      <c r="A15" s="18" t="str">
        <f>Districts_Setup!$B$14</f>
        <v>Dang</v>
      </c>
      <c r="B15" s="58">
        <v>0.6</v>
      </c>
      <c r="C15" s="58"/>
      <c r="D15" s="58">
        <v>0.55000000000000004</v>
      </c>
      <c r="E15" s="58"/>
      <c r="F15" s="58">
        <v>0.54</v>
      </c>
      <c r="G15" s="58"/>
      <c r="H15" s="58">
        <v>0.37</v>
      </c>
      <c r="I15" s="58"/>
      <c r="J15" s="58">
        <v>0.47</v>
      </c>
      <c r="K15" s="58"/>
      <c r="L15" s="58">
        <v>0.44</v>
      </c>
      <c r="M15" s="58"/>
      <c r="N15" s="58">
        <v>0.26</v>
      </c>
      <c r="O15" s="58"/>
      <c r="P15" s="58">
        <v>0.33</v>
      </c>
      <c r="Q15" s="58"/>
      <c r="R15" s="58">
        <v>0.35</v>
      </c>
      <c r="S15" s="58"/>
    </row>
    <row r="16" spans="1:19" ht="15.75" customHeight="1" x14ac:dyDescent="0.3">
      <c r="A16" s="18" t="str">
        <f>Districts_Setup!$B$15</f>
        <v>Devbhoomi Dwarka</v>
      </c>
      <c r="B16" s="58">
        <v>0.64</v>
      </c>
      <c r="C16" s="58">
        <v>0.48</v>
      </c>
      <c r="D16" s="58">
        <v>0.57999999999999996</v>
      </c>
      <c r="E16" s="58">
        <v>0.44</v>
      </c>
      <c r="F16" s="58">
        <v>0.56999999999999995</v>
      </c>
      <c r="G16" s="58">
        <v>0.54</v>
      </c>
      <c r="H16" s="58">
        <v>0.43</v>
      </c>
      <c r="I16" s="58">
        <v>0.43</v>
      </c>
      <c r="J16" s="58">
        <v>0.48</v>
      </c>
      <c r="K16" s="58">
        <v>0.48</v>
      </c>
      <c r="L16" s="58">
        <v>0.54</v>
      </c>
      <c r="M16" s="58">
        <v>0.55000000000000004</v>
      </c>
      <c r="N16" s="58">
        <v>0.33</v>
      </c>
      <c r="O16" s="58">
        <v>0.31</v>
      </c>
      <c r="P16" s="58">
        <v>0.4</v>
      </c>
      <c r="Q16" s="58">
        <v>0.39</v>
      </c>
      <c r="R16" s="58">
        <v>0.4</v>
      </c>
      <c r="S16" s="58">
        <v>0.4</v>
      </c>
    </row>
    <row r="17" spans="1:19" ht="15.75" customHeight="1" x14ac:dyDescent="0.3">
      <c r="A17" s="18" t="str">
        <f>Districts_Setup!$B$16</f>
        <v>Gandhinagar</v>
      </c>
      <c r="B17" s="58">
        <v>0.63</v>
      </c>
      <c r="C17" s="58">
        <v>0.64</v>
      </c>
      <c r="D17" s="58">
        <v>0.6</v>
      </c>
      <c r="E17" s="58">
        <v>0.59</v>
      </c>
      <c r="F17" s="58">
        <v>0.52</v>
      </c>
      <c r="G17" s="58">
        <v>0.59</v>
      </c>
      <c r="H17" s="58">
        <v>0.41</v>
      </c>
      <c r="I17" s="58">
        <v>0.48</v>
      </c>
      <c r="J17" s="58">
        <v>0.47</v>
      </c>
      <c r="K17" s="58">
        <v>0.52</v>
      </c>
      <c r="L17" s="58">
        <v>0.56999999999999995</v>
      </c>
      <c r="M17" s="58">
        <v>0.63</v>
      </c>
      <c r="N17" s="58">
        <v>0.36</v>
      </c>
      <c r="O17" s="58">
        <v>0.36</v>
      </c>
      <c r="P17" s="58">
        <v>0.42</v>
      </c>
      <c r="Q17" s="58">
        <v>0.46</v>
      </c>
      <c r="R17" s="58">
        <v>0.41</v>
      </c>
      <c r="S17" s="58">
        <v>0.45</v>
      </c>
    </row>
    <row r="18" spans="1:19" ht="15.75" customHeight="1" x14ac:dyDescent="0.3">
      <c r="A18" s="18" t="str">
        <f>Districts_Setup!$B$17</f>
        <v>Gir Somnath</v>
      </c>
      <c r="B18" s="58">
        <v>0.5</v>
      </c>
      <c r="C18" s="58">
        <v>0.49</v>
      </c>
      <c r="D18" s="58">
        <v>0.45</v>
      </c>
      <c r="E18" s="58">
        <v>0.45</v>
      </c>
      <c r="F18" s="58">
        <v>0.47</v>
      </c>
      <c r="G18" s="58">
        <v>0.39</v>
      </c>
      <c r="H18" s="58">
        <v>0.4</v>
      </c>
      <c r="I18" s="58">
        <v>0.36</v>
      </c>
      <c r="J18" s="58">
        <v>0.42</v>
      </c>
      <c r="K18" s="58">
        <v>0.38</v>
      </c>
      <c r="L18" s="58">
        <v>0.44</v>
      </c>
      <c r="M18" s="58">
        <v>0.46</v>
      </c>
      <c r="N18" s="58">
        <v>0.28999999999999998</v>
      </c>
      <c r="O18" s="58">
        <v>0.33</v>
      </c>
      <c r="P18" s="58">
        <v>0.35</v>
      </c>
      <c r="Q18" s="58">
        <v>0.38</v>
      </c>
      <c r="R18" s="58">
        <v>0.35</v>
      </c>
      <c r="S18" s="58">
        <v>0.38</v>
      </c>
    </row>
    <row r="19" spans="1:19" ht="15.75" customHeight="1" x14ac:dyDescent="0.3">
      <c r="A19" s="18" t="str">
        <f>Districts_Setup!$B$18</f>
        <v>Jamnagar</v>
      </c>
      <c r="B19" s="58">
        <v>0.53</v>
      </c>
      <c r="C19" s="58">
        <v>0.46</v>
      </c>
      <c r="D19" s="58">
        <v>0.48</v>
      </c>
      <c r="E19" s="58">
        <v>0.43</v>
      </c>
      <c r="F19" s="58">
        <v>0.48</v>
      </c>
      <c r="G19" s="58">
        <v>0.51</v>
      </c>
      <c r="H19" s="58">
        <v>0.42</v>
      </c>
      <c r="I19" s="58">
        <v>0.39</v>
      </c>
      <c r="J19" s="58">
        <v>0.43</v>
      </c>
      <c r="K19" s="58">
        <v>0.47</v>
      </c>
      <c r="L19" s="58">
        <v>0.51</v>
      </c>
      <c r="M19" s="58">
        <v>0.55000000000000004</v>
      </c>
      <c r="N19" s="58">
        <v>0.32</v>
      </c>
      <c r="O19" s="58">
        <v>0.34</v>
      </c>
      <c r="P19" s="58">
        <v>0.38</v>
      </c>
      <c r="Q19" s="58">
        <v>0.42</v>
      </c>
      <c r="R19" s="58">
        <v>0.38</v>
      </c>
      <c r="S19" s="58">
        <v>0.4</v>
      </c>
    </row>
    <row r="20" spans="1:19" ht="15.75" customHeight="1" x14ac:dyDescent="0.3">
      <c r="A20" s="18" t="str">
        <f>Districts_Setup!$B$19</f>
        <v>Junagadh</v>
      </c>
      <c r="B20" s="58">
        <v>0.55000000000000004</v>
      </c>
      <c r="C20" s="58">
        <v>0.61</v>
      </c>
      <c r="D20" s="58">
        <v>0.49</v>
      </c>
      <c r="E20" s="58">
        <v>0.53</v>
      </c>
      <c r="F20" s="58">
        <v>0.5</v>
      </c>
      <c r="G20" s="58">
        <v>0.6</v>
      </c>
      <c r="H20" s="58">
        <v>0.39</v>
      </c>
      <c r="I20" s="58">
        <v>0.48</v>
      </c>
      <c r="J20" s="58">
        <v>0.45</v>
      </c>
      <c r="K20" s="58">
        <v>0.51</v>
      </c>
      <c r="L20" s="58">
        <v>0.48</v>
      </c>
      <c r="M20" s="58">
        <v>0.55000000000000004</v>
      </c>
      <c r="N20" s="58">
        <v>0.3</v>
      </c>
      <c r="O20" s="58">
        <v>0.34</v>
      </c>
      <c r="P20" s="58">
        <v>0.38</v>
      </c>
      <c r="Q20" s="58">
        <v>0.41</v>
      </c>
      <c r="R20" s="58">
        <v>0.37</v>
      </c>
      <c r="S20" s="58">
        <v>0.41</v>
      </c>
    </row>
    <row r="21" spans="1:19" ht="15.75" customHeight="1" x14ac:dyDescent="0.3">
      <c r="A21" s="18" t="str">
        <f>Districts_Setup!$B$20</f>
        <v>Kutch</v>
      </c>
      <c r="B21" s="58">
        <v>0.51</v>
      </c>
      <c r="C21" s="58">
        <v>0.52</v>
      </c>
      <c r="D21" s="58">
        <v>0.47</v>
      </c>
      <c r="E21" s="58">
        <v>0.49</v>
      </c>
      <c r="F21" s="58">
        <v>0.52</v>
      </c>
      <c r="G21" s="58">
        <v>0.51</v>
      </c>
      <c r="H21" s="58">
        <v>0.41</v>
      </c>
      <c r="I21" s="58">
        <v>0.39</v>
      </c>
      <c r="J21" s="58">
        <v>0.45</v>
      </c>
      <c r="K21" s="58">
        <v>0.44</v>
      </c>
      <c r="L21" s="58">
        <v>0.47</v>
      </c>
      <c r="M21" s="58">
        <v>0.59</v>
      </c>
      <c r="N21" s="58">
        <v>0.3</v>
      </c>
      <c r="O21" s="58">
        <v>0.36</v>
      </c>
      <c r="P21" s="58">
        <v>0.38</v>
      </c>
      <c r="Q21" s="58">
        <v>0.42</v>
      </c>
      <c r="R21" s="58">
        <v>0.35</v>
      </c>
      <c r="S21" s="58">
        <v>0.41</v>
      </c>
    </row>
    <row r="22" spans="1:19" ht="15.75" customHeight="1" x14ac:dyDescent="0.3">
      <c r="A22" s="18" t="str">
        <f>Districts_Setup!$B$21</f>
        <v>Kheda</v>
      </c>
      <c r="B22" s="58">
        <v>0.51</v>
      </c>
      <c r="C22" s="58">
        <v>0.53</v>
      </c>
      <c r="D22" s="58">
        <v>0.45</v>
      </c>
      <c r="E22" s="58">
        <v>0.47</v>
      </c>
      <c r="F22" s="58">
        <v>0.5</v>
      </c>
      <c r="G22" s="58">
        <v>0.42</v>
      </c>
      <c r="H22" s="58">
        <v>0.37</v>
      </c>
      <c r="I22" s="58">
        <v>0.31</v>
      </c>
      <c r="J22" s="58">
        <v>0.45</v>
      </c>
      <c r="K22" s="58">
        <v>0.4</v>
      </c>
      <c r="L22" s="58">
        <v>0.42</v>
      </c>
      <c r="M22" s="58">
        <v>0.49</v>
      </c>
      <c r="N22" s="58">
        <v>0.28000000000000003</v>
      </c>
      <c r="O22" s="58">
        <v>0.3</v>
      </c>
      <c r="P22" s="58">
        <v>0.35</v>
      </c>
      <c r="Q22" s="58">
        <v>0.37</v>
      </c>
      <c r="R22" s="58">
        <v>0.32</v>
      </c>
      <c r="S22" s="58">
        <v>0.37</v>
      </c>
    </row>
    <row r="23" spans="1:19" ht="15.75" customHeight="1" x14ac:dyDescent="0.3">
      <c r="A23" s="18" t="str">
        <f>Districts_Setup!$B$22</f>
        <v>Mahisagar</v>
      </c>
      <c r="B23" s="58">
        <v>0.59</v>
      </c>
      <c r="C23" s="58">
        <v>0.56999999999999995</v>
      </c>
      <c r="D23" s="58">
        <v>0.52</v>
      </c>
      <c r="E23" s="58">
        <v>0.5</v>
      </c>
      <c r="F23" s="58">
        <v>0.49</v>
      </c>
      <c r="G23" s="58">
        <v>0.5</v>
      </c>
      <c r="H23" s="58">
        <v>0.39</v>
      </c>
      <c r="I23" s="58">
        <v>0.42</v>
      </c>
      <c r="J23" s="58">
        <v>0.42</v>
      </c>
      <c r="K23" s="58">
        <v>0.46</v>
      </c>
      <c r="L23" s="58">
        <v>0.42</v>
      </c>
      <c r="M23" s="58">
        <v>0.51</v>
      </c>
      <c r="N23" s="58">
        <v>0.28999999999999998</v>
      </c>
      <c r="O23" s="58">
        <v>0.33</v>
      </c>
      <c r="P23" s="58">
        <v>0.34</v>
      </c>
      <c r="Q23" s="58">
        <v>0.41</v>
      </c>
      <c r="R23" s="58">
        <v>0.32</v>
      </c>
      <c r="S23" s="58">
        <v>0.36</v>
      </c>
    </row>
    <row r="24" spans="1:19" ht="15.75" customHeight="1" x14ac:dyDescent="0.3">
      <c r="A24" s="18" t="str">
        <f>Districts_Setup!$B$23</f>
        <v>Mehsana</v>
      </c>
      <c r="B24" s="58">
        <v>0.56999999999999995</v>
      </c>
      <c r="C24" s="58">
        <v>0.57999999999999996</v>
      </c>
      <c r="D24" s="58">
        <v>0.52</v>
      </c>
      <c r="E24" s="58">
        <v>0.52</v>
      </c>
      <c r="F24" s="58">
        <v>0.54</v>
      </c>
      <c r="G24" s="58">
        <v>0.59</v>
      </c>
      <c r="H24" s="58">
        <v>0.4</v>
      </c>
      <c r="I24" s="58">
        <v>0.46</v>
      </c>
      <c r="J24" s="58">
        <v>0.46</v>
      </c>
      <c r="K24" s="58">
        <v>0.5</v>
      </c>
      <c r="L24" s="58">
        <v>0.46</v>
      </c>
      <c r="M24" s="58">
        <v>0.54</v>
      </c>
      <c r="N24" s="58">
        <v>0.28000000000000003</v>
      </c>
      <c r="O24" s="58">
        <v>0.35</v>
      </c>
      <c r="P24" s="58">
        <v>0.35</v>
      </c>
      <c r="Q24" s="58">
        <v>0.4</v>
      </c>
      <c r="R24" s="58">
        <v>0.34</v>
      </c>
      <c r="S24" s="58">
        <v>0.41</v>
      </c>
    </row>
    <row r="25" spans="1:19" ht="15.75" customHeight="1" x14ac:dyDescent="0.3">
      <c r="A25" s="18" t="str">
        <f>Districts_Setup!$B$24</f>
        <v>Morbi</v>
      </c>
      <c r="B25" s="58">
        <v>0.59</v>
      </c>
      <c r="C25" s="58">
        <v>0.61</v>
      </c>
      <c r="D25" s="58">
        <v>0.51</v>
      </c>
      <c r="E25" s="58">
        <v>0.56000000000000005</v>
      </c>
      <c r="F25" s="58">
        <v>0.53</v>
      </c>
      <c r="G25" s="58">
        <v>0.46</v>
      </c>
      <c r="H25" s="58">
        <v>0.42</v>
      </c>
      <c r="I25" s="58">
        <v>0.38</v>
      </c>
      <c r="J25" s="58">
        <v>0.46</v>
      </c>
      <c r="K25" s="58">
        <v>0.41</v>
      </c>
      <c r="L25" s="58">
        <v>0.49</v>
      </c>
      <c r="M25" s="58">
        <v>0.5</v>
      </c>
      <c r="N25" s="58">
        <v>0.3</v>
      </c>
      <c r="O25" s="58">
        <v>0.3</v>
      </c>
      <c r="P25" s="58">
        <v>0.38</v>
      </c>
      <c r="Q25" s="58">
        <v>0.36</v>
      </c>
      <c r="R25" s="58">
        <v>0.37</v>
      </c>
      <c r="S25" s="58">
        <v>0.36</v>
      </c>
    </row>
    <row r="26" spans="1:19" ht="15.75" customHeight="1" x14ac:dyDescent="0.3">
      <c r="A26" s="18" t="str">
        <f>Districts_Setup!$B$25</f>
        <v>Narmada</v>
      </c>
      <c r="B26" s="58">
        <v>0.55000000000000004</v>
      </c>
      <c r="C26" s="58">
        <v>0.7</v>
      </c>
      <c r="D26" s="58">
        <v>0.5</v>
      </c>
      <c r="E26" s="58">
        <v>0.62</v>
      </c>
      <c r="F26" s="58">
        <v>0.46</v>
      </c>
      <c r="G26" s="58">
        <v>0.59</v>
      </c>
      <c r="H26" s="58">
        <v>0.36</v>
      </c>
      <c r="I26" s="58">
        <v>0.45</v>
      </c>
      <c r="J26" s="58">
        <v>0.41</v>
      </c>
      <c r="K26" s="58">
        <v>0.5</v>
      </c>
      <c r="L26" s="58">
        <v>0.48</v>
      </c>
      <c r="M26" s="58">
        <v>0.59</v>
      </c>
      <c r="N26" s="58">
        <v>0.28000000000000003</v>
      </c>
      <c r="O26" s="58">
        <v>0.34</v>
      </c>
      <c r="P26" s="58">
        <v>0.36</v>
      </c>
      <c r="Q26" s="58">
        <v>0.42</v>
      </c>
      <c r="R26" s="58">
        <v>0.34</v>
      </c>
      <c r="S26" s="58">
        <v>0.44</v>
      </c>
    </row>
    <row r="27" spans="1:19" ht="15.75" customHeight="1" x14ac:dyDescent="0.3">
      <c r="A27" s="18" t="str">
        <f>Districts_Setup!$B$26</f>
        <v>Navsari</v>
      </c>
      <c r="B27" s="58">
        <v>0.53</v>
      </c>
      <c r="C27" s="58">
        <v>0.61</v>
      </c>
      <c r="D27" s="58">
        <v>0.49</v>
      </c>
      <c r="E27" s="58">
        <v>0.54</v>
      </c>
      <c r="F27" s="58">
        <v>0.53</v>
      </c>
      <c r="G27" s="58">
        <v>0.48</v>
      </c>
      <c r="H27" s="58">
        <v>0.4</v>
      </c>
      <c r="I27" s="58">
        <v>0.38</v>
      </c>
      <c r="J27" s="58">
        <v>0.46</v>
      </c>
      <c r="K27" s="58">
        <v>0.43</v>
      </c>
      <c r="L27" s="58">
        <v>0.54</v>
      </c>
      <c r="M27" s="58">
        <v>0.52</v>
      </c>
      <c r="N27" s="58">
        <v>0.33</v>
      </c>
      <c r="O27" s="58">
        <v>0.34</v>
      </c>
      <c r="P27" s="58">
        <v>0.4</v>
      </c>
      <c r="Q27" s="58">
        <v>0.42</v>
      </c>
      <c r="R27" s="58">
        <v>0.4</v>
      </c>
      <c r="S27" s="58">
        <v>0.39</v>
      </c>
    </row>
    <row r="28" spans="1:19" ht="15.75" customHeight="1" x14ac:dyDescent="0.3">
      <c r="A28" s="18" t="str">
        <f>Districts_Setup!$B$27</f>
        <v>Panchmahal</v>
      </c>
      <c r="B28" s="58">
        <v>0.59</v>
      </c>
      <c r="C28" s="58">
        <v>0.56999999999999995</v>
      </c>
      <c r="D28" s="58">
        <v>0.54</v>
      </c>
      <c r="E28" s="58">
        <v>0.53</v>
      </c>
      <c r="F28" s="58">
        <v>0.52</v>
      </c>
      <c r="G28" s="58">
        <v>0.53</v>
      </c>
      <c r="H28" s="58">
        <v>0.41</v>
      </c>
      <c r="I28" s="58">
        <v>0.44</v>
      </c>
      <c r="J28" s="58">
        <v>0.47</v>
      </c>
      <c r="K28" s="58">
        <v>0.45</v>
      </c>
      <c r="L28" s="58">
        <v>0.41</v>
      </c>
      <c r="M28" s="58">
        <v>0.53</v>
      </c>
      <c r="N28" s="58">
        <v>0.28000000000000003</v>
      </c>
      <c r="O28" s="58">
        <v>0.31</v>
      </c>
      <c r="P28" s="58">
        <v>0.34</v>
      </c>
      <c r="Q28" s="58">
        <v>0.39</v>
      </c>
      <c r="R28" s="58">
        <v>0.33</v>
      </c>
      <c r="S28" s="58">
        <v>0.38</v>
      </c>
    </row>
    <row r="29" spans="1:19" ht="15.75" customHeight="1" x14ac:dyDescent="0.3">
      <c r="A29" s="18" t="str">
        <f>Districts_Setup!$B$28</f>
        <v>Patan</v>
      </c>
      <c r="B29" s="58">
        <v>0.54</v>
      </c>
      <c r="C29" s="58">
        <v>0.53</v>
      </c>
      <c r="D29" s="58">
        <v>0.5</v>
      </c>
      <c r="E29" s="58">
        <v>0.48</v>
      </c>
      <c r="F29" s="58">
        <v>0.49</v>
      </c>
      <c r="G29" s="58">
        <v>0.55000000000000004</v>
      </c>
      <c r="H29" s="58">
        <v>0.4</v>
      </c>
      <c r="I29" s="58">
        <v>0.4</v>
      </c>
      <c r="J29" s="58">
        <v>0.43</v>
      </c>
      <c r="K29" s="58">
        <v>0.48</v>
      </c>
      <c r="L29" s="58">
        <v>0.47</v>
      </c>
      <c r="M29" s="58">
        <v>0.52</v>
      </c>
      <c r="N29" s="58">
        <v>0.3</v>
      </c>
      <c r="O29" s="58">
        <v>0.33</v>
      </c>
      <c r="P29" s="58">
        <v>0.37</v>
      </c>
      <c r="Q29" s="58">
        <v>0.39</v>
      </c>
      <c r="R29" s="58">
        <v>0.35</v>
      </c>
      <c r="S29" s="58">
        <v>0.4</v>
      </c>
    </row>
    <row r="30" spans="1:19" ht="15.75" customHeight="1" x14ac:dyDescent="0.3">
      <c r="A30" s="18" t="str">
        <f>Districts_Setup!$B$29</f>
        <v>Porbandar</v>
      </c>
      <c r="B30" s="58">
        <v>0.53</v>
      </c>
      <c r="C30" s="58">
        <v>0.5</v>
      </c>
      <c r="D30" s="58">
        <v>0.49</v>
      </c>
      <c r="E30" s="58">
        <v>0.46</v>
      </c>
      <c r="F30" s="58">
        <v>0.53</v>
      </c>
      <c r="G30" s="58">
        <v>0.51</v>
      </c>
      <c r="H30" s="58">
        <v>0.39</v>
      </c>
      <c r="I30" s="58">
        <v>0.38</v>
      </c>
      <c r="J30" s="58">
        <v>0.45</v>
      </c>
      <c r="K30" s="58">
        <v>0.44</v>
      </c>
      <c r="L30" s="58">
        <v>0.46</v>
      </c>
      <c r="M30" s="58">
        <v>0.53</v>
      </c>
      <c r="N30" s="58">
        <v>0.3</v>
      </c>
      <c r="O30" s="58">
        <v>0.31</v>
      </c>
      <c r="P30" s="58">
        <v>0.35</v>
      </c>
      <c r="Q30" s="58">
        <v>0.39</v>
      </c>
      <c r="R30" s="58">
        <v>0.35</v>
      </c>
      <c r="S30" s="58">
        <v>0.38</v>
      </c>
    </row>
    <row r="31" spans="1:19" ht="15.75" customHeight="1" x14ac:dyDescent="0.3">
      <c r="A31" s="18" t="str">
        <f>Districts_Setup!$B$30</f>
        <v>Rajkot</v>
      </c>
      <c r="B31" s="58">
        <v>0.51</v>
      </c>
      <c r="C31" s="58">
        <v>0.62</v>
      </c>
      <c r="D31" s="58">
        <v>0.46</v>
      </c>
      <c r="E31" s="58">
        <v>0.56000000000000005</v>
      </c>
      <c r="F31" s="58">
        <v>0.41</v>
      </c>
      <c r="G31" s="58">
        <v>0.52</v>
      </c>
      <c r="H31" s="58">
        <v>0.37</v>
      </c>
      <c r="I31" s="58">
        <v>0.42</v>
      </c>
      <c r="J31" s="58">
        <v>0.38</v>
      </c>
      <c r="K31" s="58">
        <v>0.47</v>
      </c>
      <c r="L31" s="58">
        <v>0.49</v>
      </c>
      <c r="M31" s="58">
        <v>0.57999999999999996</v>
      </c>
      <c r="N31" s="58">
        <v>0.32</v>
      </c>
      <c r="O31" s="58">
        <v>0.35</v>
      </c>
      <c r="P31" s="58">
        <v>0.38</v>
      </c>
      <c r="Q31" s="58">
        <v>0.42</v>
      </c>
      <c r="R31" s="58">
        <v>0.37</v>
      </c>
      <c r="S31" s="58">
        <v>0.42</v>
      </c>
    </row>
    <row r="32" spans="1:19" ht="15.75" customHeight="1" x14ac:dyDescent="0.3">
      <c r="A32" s="18" t="str">
        <f>Districts_Setup!$B$31</f>
        <v>Sabarkantha</v>
      </c>
      <c r="B32" s="58">
        <v>0.61</v>
      </c>
      <c r="C32" s="58">
        <v>0.65</v>
      </c>
      <c r="D32" s="58">
        <v>0.56000000000000005</v>
      </c>
      <c r="E32" s="58">
        <v>0.62</v>
      </c>
      <c r="F32" s="58">
        <v>0.45</v>
      </c>
      <c r="G32" s="58">
        <v>0.55000000000000004</v>
      </c>
      <c r="H32" s="58">
        <v>0.37</v>
      </c>
      <c r="I32" s="58">
        <v>0.43</v>
      </c>
      <c r="J32" s="58">
        <v>0.4</v>
      </c>
      <c r="K32" s="58">
        <v>0.49</v>
      </c>
      <c r="L32" s="58">
        <v>0.46</v>
      </c>
      <c r="M32" s="58">
        <v>0.56000000000000005</v>
      </c>
      <c r="N32" s="58">
        <v>0.31</v>
      </c>
      <c r="O32" s="58">
        <v>0.32</v>
      </c>
      <c r="P32" s="58">
        <v>0.36</v>
      </c>
      <c r="Q32" s="58">
        <v>0.38</v>
      </c>
      <c r="R32" s="58">
        <v>0.35</v>
      </c>
      <c r="S32" s="58">
        <v>0.4</v>
      </c>
    </row>
    <row r="33" spans="1:19" ht="15.75" customHeight="1" x14ac:dyDescent="0.3">
      <c r="A33" s="18" t="str">
        <f>Districts_Setup!$B$32</f>
        <v>Surat</v>
      </c>
      <c r="B33" s="58">
        <v>0.52</v>
      </c>
      <c r="C33" s="58">
        <v>0.56999999999999995</v>
      </c>
      <c r="D33" s="58">
        <v>0.46</v>
      </c>
      <c r="E33" s="58">
        <v>0.51</v>
      </c>
      <c r="F33" s="58">
        <v>0.51</v>
      </c>
      <c r="G33" s="58">
        <v>0.56999999999999995</v>
      </c>
      <c r="H33" s="58">
        <v>0.41</v>
      </c>
      <c r="I33" s="58">
        <v>0.45</v>
      </c>
      <c r="J33" s="58">
        <v>0.43</v>
      </c>
      <c r="K33" s="58">
        <v>0.49</v>
      </c>
      <c r="L33" s="58">
        <v>0.51</v>
      </c>
      <c r="M33" s="58">
        <v>0.6</v>
      </c>
      <c r="N33" s="58">
        <v>0.33</v>
      </c>
      <c r="O33" s="58">
        <v>0.37</v>
      </c>
      <c r="P33" s="58">
        <v>0.38</v>
      </c>
      <c r="Q33" s="58">
        <v>0.44</v>
      </c>
      <c r="R33" s="58">
        <v>0.39</v>
      </c>
      <c r="S33" s="58">
        <v>0.43</v>
      </c>
    </row>
    <row r="34" spans="1:19" ht="15.75" customHeight="1" x14ac:dyDescent="0.3">
      <c r="A34" s="18" t="str">
        <f>Districts_Setup!$B$33</f>
        <v>Surendranagar</v>
      </c>
      <c r="B34" s="58">
        <v>0.59</v>
      </c>
      <c r="C34" s="58">
        <v>0.64</v>
      </c>
      <c r="D34" s="58">
        <v>0.54</v>
      </c>
      <c r="E34" s="58">
        <v>0.56000000000000005</v>
      </c>
      <c r="F34" s="58">
        <v>0.53</v>
      </c>
      <c r="G34" s="58">
        <v>0.57999999999999996</v>
      </c>
      <c r="H34" s="58">
        <v>0.45</v>
      </c>
      <c r="I34" s="58">
        <v>0.44</v>
      </c>
      <c r="J34" s="58">
        <v>0.46</v>
      </c>
      <c r="K34" s="58">
        <v>0.51</v>
      </c>
      <c r="L34" s="58">
        <v>0.43</v>
      </c>
      <c r="M34" s="58">
        <v>0.52</v>
      </c>
      <c r="N34" s="58">
        <v>0.3</v>
      </c>
      <c r="O34" s="58">
        <v>0.32</v>
      </c>
      <c r="P34" s="58">
        <v>0.34</v>
      </c>
      <c r="Q34" s="58">
        <v>0.39</v>
      </c>
      <c r="R34" s="58">
        <v>0.34</v>
      </c>
      <c r="S34" s="58">
        <v>0.37</v>
      </c>
    </row>
    <row r="35" spans="1:19" ht="15.75" customHeight="1" x14ac:dyDescent="0.3">
      <c r="A35" s="18" t="str">
        <f>Districts_Setup!$B$34</f>
        <v>Tapi</v>
      </c>
      <c r="B35" s="58">
        <v>0.62</v>
      </c>
      <c r="C35" s="58">
        <v>0.6</v>
      </c>
      <c r="D35" s="58">
        <v>0.56999999999999995</v>
      </c>
      <c r="E35" s="58">
        <v>0.61</v>
      </c>
      <c r="F35" s="58">
        <v>0.54</v>
      </c>
      <c r="G35" s="58">
        <v>0.53</v>
      </c>
      <c r="H35" s="58">
        <v>0.43</v>
      </c>
      <c r="I35" s="58">
        <v>0.38</v>
      </c>
      <c r="J35" s="58">
        <v>0.5</v>
      </c>
      <c r="K35" s="58">
        <v>0.5</v>
      </c>
      <c r="L35" s="58">
        <v>0.52</v>
      </c>
      <c r="M35" s="58">
        <v>0.59</v>
      </c>
      <c r="N35" s="58">
        <v>0.31</v>
      </c>
      <c r="O35" s="58">
        <v>0.31</v>
      </c>
      <c r="P35" s="58">
        <v>0.39</v>
      </c>
      <c r="Q35" s="58">
        <v>0.42</v>
      </c>
      <c r="R35" s="58">
        <v>0.38</v>
      </c>
      <c r="S35" s="58">
        <v>0.42</v>
      </c>
    </row>
    <row r="36" spans="1:19" ht="15.75" customHeight="1" x14ac:dyDescent="0.3">
      <c r="A36" s="18" t="str">
        <f>Districts_Setup!$B$35</f>
        <v>Vadodara</v>
      </c>
      <c r="B36" s="58">
        <v>0.46</v>
      </c>
      <c r="C36" s="58">
        <v>0.56000000000000005</v>
      </c>
      <c r="D36" s="58">
        <v>0.43</v>
      </c>
      <c r="E36" s="58">
        <v>0.5</v>
      </c>
      <c r="F36" s="58">
        <v>0.48</v>
      </c>
      <c r="G36" s="58">
        <v>0.57999999999999996</v>
      </c>
      <c r="H36" s="58">
        <v>0.38</v>
      </c>
      <c r="I36" s="58">
        <v>0.45</v>
      </c>
      <c r="J36" s="58">
        <v>0.42</v>
      </c>
      <c r="K36" s="58">
        <v>0.5</v>
      </c>
      <c r="L36" s="58">
        <v>0.44</v>
      </c>
      <c r="M36" s="58">
        <v>0.64</v>
      </c>
      <c r="N36" s="58">
        <v>0.28000000000000003</v>
      </c>
      <c r="O36" s="58">
        <v>0.39</v>
      </c>
      <c r="P36" s="58">
        <v>0.35</v>
      </c>
      <c r="Q36" s="58">
        <v>0.48</v>
      </c>
      <c r="R36" s="58">
        <v>0.34</v>
      </c>
      <c r="S36" s="58">
        <v>0.47</v>
      </c>
    </row>
    <row r="37" spans="1:19" ht="15.75" customHeight="1" x14ac:dyDescent="0.3">
      <c r="A37" s="18" t="str">
        <f>Districts_Setup!$B$36</f>
        <v>Valsad</v>
      </c>
      <c r="B37" s="58">
        <v>0.59</v>
      </c>
      <c r="C37" s="58">
        <v>0.59</v>
      </c>
      <c r="D37" s="58">
        <v>0.53</v>
      </c>
      <c r="E37" s="58">
        <v>0.53</v>
      </c>
      <c r="F37" s="58">
        <v>0.5</v>
      </c>
      <c r="G37" s="58">
        <v>0.54</v>
      </c>
      <c r="H37" s="58">
        <v>0.38</v>
      </c>
      <c r="I37" s="58">
        <v>0.43</v>
      </c>
      <c r="J37" s="58">
        <v>0.43</v>
      </c>
      <c r="K37" s="58">
        <v>0.48</v>
      </c>
      <c r="L37" s="58">
        <v>0.47</v>
      </c>
      <c r="M37" s="58">
        <v>0.61</v>
      </c>
      <c r="N37" s="58">
        <v>0.28999999999999998</v>
      </c>
      <c r="O37" s="58">
        <v>0.4</v>
      </c>
      <c r="P37" s="58">
        <v>0.36</v>
      </c>
      <c r="Q37" s="58">
        <v>0.48</v>
      </c>
      <c r="R37" s="58">
        <v>0.36</v>
      </c>
      <c r="S37" s="58">
        <v>0.44</v>
      </c>
    </row>
  </sheetData>
  <mergeCells count="12">
    <mergeCell ref="A1:S1"/>
    <mergeCell ref="A2:S2"/>
    <mergeCell ref="A3:A4"/>
    <mergeCell ref="B3:C3"/>
    <mergeCell ref="D3:E3"/>
    <mergeCell ref="F3:G3"/>
    <mergeCell ref="H3:I3"/>
    <mergeCell ref="J3:K3"/>
    <mergeCell ref="L3:M3"/>
    <mergeCell ref="N3:O3"/>
    <mergeCell ref="P3:Q3"/>
    <mergeCell ref="R3:S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K37"/>
  <sheetViews>
    <sheetView showGridLines="0" zoomScaleNormal="100" workbookViewId="0">
      <pane xSplit="1" ySplit="4" topLeftCell="B5" activePane="bottomRight" state="frozen"/>
      <selection pane="topRight" activeCell="B1" sqref="B1"/>
      <selection pane="bottomLeft" activeCell="A5" sqref="A5"/>
      <selection pane="bottomRight" activeCell="D8" sqref="D8"/>
    </sheetView>
  </sheetViews>
  <sheetFormatPr defaultColWidth="8.6640625" defaultRowHeight="15.6" x14ac:dyDescent="0.3"/>
  <cols>
    <col min="1" max="1" width="19.77734375" style="11" bestFit="1" customWidth="1"/>
    <col min="2" max="4" width="14.44140625" style="11" customWidth="1"/>
    <col min="5" max="5" width="16.21875" style="11" customWidth="1"/>
    <col min="6" max="8" width="14.44140625" style="11" customWidth="1"/>
    <col min="9" max="9" width="15.5546875" style="11" customWidth="1"/>
    <col min="10" max="12" width="14.44140625" style="11" customWidth="1"/>
    <col min="13" max="13" width="16" style="11" customWidth="1"/>
    <col min="14" max="37" width="14.44140625" style="11" customWidth="1"/>
    <col min="38" max="16384" width="8.6640625" style="11"/>
  </cols>
  <sheetData>
    <row r="1" spans="1:37" ht="25.5" customHeight="1" x14ac:dyDescent="0.3">
      <c r="A1" s="93" t="s">
        <v>789</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row>
    <row r="2" spans="1:37" x14ac:dyDescent="0.3">
      <c r="A2" s="80" t="s">
        <v>635</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row>
    <row r="3" spans="1:37" ht="25.5" customHeight="1" x14ac:dyDescent="0.3">
      <c r="A3" s="94" t="s">
        <v>619</v>
      </c>
      <c r="B3" s="95" t="s">
        <v>620</v>
      </c>
      <c r="C3" s="95"/>
      <c r="D3" s="95"/>
      <c r="E3" s="95"/>
      <c r="F3" s="95" t="s">
        <v>621</v>
      </c>
      <c r="G3" s="95"/>
      <c r="H3" s="95"/>
      <c r="I3" s="95"/>
      <c r="J3" s="95" t="s">
        <v>622</v>
      </c>
      <c r="K3" s="95"/>
      <c r="L3" s="95"/>
      <c r="M3" s="95"/>
      <c r="N3" s="95" t="s">
        <v>623</v>
      </c>
      <c r="O3" s="95"/>
      <c r="P3" s="95"/>
      <c r="Q3" s="95"/>
      <c r="R3" s="95" t="s">
        <v>624</v>
      </c>
      <c r="S3" s="95"/>
      <c r="T3" s="95"/>
      <c r="U3" s="95"/>
      <c r="V3" s="95" t="s">
        <v>625</v>
      </c>
      <c r="W3" s="95"/>
      <c r="X3" s="95"/>
      <c r="Y3" s="95"/>
      <c r="Z3" s="95" t="s">
        <v>626</v>
      </c>
      <c r="AA3" s="95"/>
      <c r="AB3" s="95"/>
      <c r="AC3" s="95"/>
      <c r="AD3" s="95" t="s">
        <v>627</v>
      </c>
      <c r="AE3" s="95"/>
      <c r="AF3" s="95"/>
      <c r="AG3" s="95"/>
      <c r="AH3" s="95" t="s">
        <v>628</v>
      </c>
      <c r="AI3" s="95"/>
      <c r="AJ3" s="95"/>
      <c r="AK3" s="95"/>
    </row>
    <row r="4" spans="1:37" ht="40.950000000000003" customHeight="1" x14ac:dyDescent="0.3">
      <c r="A4" s="94"/>
      <c r="B4" s="36" t="s">
        <v>636</v>
      </c>
      <c r="C4" s="36" t="s">
        <v>637</v>
      </c>
      <c r="D4" s="36" t="s">
        <v>638</v>
      </c>
      <c r="E4" s="36" t="s">
        <v>639</v>
      </c>
      <c r="F4" s="36" t="s">
        <v>636</v>
      </c>
      <c r="G4" s="36" t="s">
        <v>637</v>
      </c>
      <c r="H4" s="36" t="s">
        <v>638</v>
      </c>
      <c r="I4" s="36" t="s">
        <v>639</v>
      </c>
      <c r="J4" s="36" t="s">
        <v>636</v>
      </c>
      <c r="K4" s="36" t="s">
        <v>637</v>
      </c>
      <c r="L4" s="36" t="s">
        <v>638</v>
      </c>
      <c r="M4" s="36" t="s">
        <v>639</v>
      </c>
      <c r="N4" s="36" t="s">
        <v>636</v>
      </c>
      <c r="O4" s="36" t="s">
        <v>637</v>
      </c>
      <c r="P4" s="36" t="s">
        <v>638</v>
      </c>
      <c r="Q4" s="36" t="s">
        <v>639</v>
      </c>
      <c r="R4" s="36" t="s">
        <v>636</v>
      </c>
      <c r="S4" s="36" t="s">
        <v>637</v>
      </c>
      <c r="T4" s="36" t="s">
        <v>638</v>
      </c>
      <c r="U4" s="36" t="s">
        <v>639</v>
      </c>
      <c r="V4" s="36" t="s">
        <v>636</v>
      </c>
      <c r="W4" s="36" t="s">
        <v>637</v>
      </c>
      <c r="X4" s="36" t="s">
        <v>638</v>
      </c>
      <c r="Y4" s="36" t="s">
        <v>639</v>
      </c>
      <c r="Z4" s="36" t="s">
        <v>636</v>
      </c>
      <c r="AA4" s="36" t="s">
        <v>637</v>
      </c>
      <c r="AB4" s="36" t="s">
        <v>638</v>
      </c>
      <c r="AC4" s="36" t="s">
        <v>639</v>
      </c>
      <c r="AD4" s="36" t="s">
        <v>636</v>
      </c>
      <c r="AE4" s="36" t="s">
        <v>637</v>
      </c>
      <c r="AF4" s="36" t="s">
        <v>638</v>
      </c>
      <c r="AG4" s="36" t="s">
        <v>639</v>
      </c>
      <c r="AH4" s="36" t="s">
        <v>636</v>
      </c>
      <c r="AI4" s="36" t="s">
        <v>637</v>
      </c>
      <c r="AJ4" s="36" t="s">
        <v>638</v>
      </c>
      <c r="AK4" s="36" t="s">
        <v>639</v>
      </c>
    </row>
    <row r="5" spans="1:37" ht="15.75" customHeight="1" x14ac:dyDescent="0.3">
      <c r="A5" s="18" t="str">
        <f>Districts_Setup!$B$4</f>
        <v>Ahmedabad</v>
      </c>
      <c r="B5" s="58">
        <v>0.64</v>
      </c>
      <c r="C5" s="58">
        <v>0.56999999999999995</v>
      </c>
      <c r="D5" s="58">
        <v>0.66</v>
      </c>
      <c r="E5" s="58">
        <v>0.56000000000000005</v>
      </c>
      <c r="F5" s="58">
        <v>0.56000000000000005</v>
      </c>
      <c r="G5" s="58">
        <v>0.52</v>
      </c>
      <c r="H5" s="58">
        <v>0.59</v>
      </c>
      <c r="I5" s="58">
        <v>0.52</v>
      </c>
      <c r="J5" s="58">
        <v>0.51</v>
      </c>
      <c r="K5" s="58">
        <v>0.5</v>
      </c>
      <c r="L5" s="58">
        <v>0.67</v>
      </c>
      <c r="M5" s="58">
        <v>0.47</v>
      </c>
      <c r="N5" s="58">
        <v>0.39</v>
      </c>
      <c r="O5" s="58">
        <v>0.35</v>
      </c>
      <c r="P5" s="58">
        <v>0.64</v>
      </c>
      <c r="Q5" s="58">
        <v>0.37</v>
      </c>
      <c r="R5" s="58">
        <v>0.44</v>
      </c>
      <c r="S5" s="58">
        <v>0.45</v>
      </c>
      <c r="T5" s="58">
        <v>0.57999999999999996</v>
      </c>
      <c r="U5" s="58">
        <v>0.43</v>
      </c>
      <c r="V5" s="58">
        <v>0.4</v>
      </c>
      <c r="W5" s="58">
        <v>0.45</v>
      </c>
      <c r="X5" s="58">
        <v>0.53</v>
      </c>
      <c r="Y5" s="58">
        <v>0.6</v>
      </c>
      <c r="Z5" s="58">
        <v>0.27</v>
      </c>
      <c r="AA5" s="58">
        <v>0.3</v>
      </c>
      <c r="AB5" s="58">
        <v>0.44</v>
      </c>
      <c r="AC5" s="58">
        <v>0.34</v>
      </c>
      <c r="AD5" s="58">
        <v>0.33</v>
      </c>
      <c r="AE5" s="58">
        <v>0.35</v>
      </c>
      <c r="AF5" s="58">
        <v>0.5</v>
      </c>
      <c r="AG5" s="58">
        <v>0.42</v>
      </c>
      <c r="AH5" s="58">
        <v>0.31</v>
      </c>
      <c r="AI5" s="58">
        <v>0.34</v>
      </c>
      <c r="AJ5" s="58">
        <v>0.43</v>
      </c>
      <c r="AK5" s="58">
        <v>0.4</v>
      </c>
    </row>
    <row r="6" spans="1:37" ht="15.75" customHeight="1" x14ac:dyDescent="0.3">
      <c r="A6" s="18" t="str">
        <f>Districts_Setup!$B$5</f>
        <v>Amreli</v>
      </c>
      <c r="B6" s="58">
        <v>0.54</v>
      </c>
      <c r="C6" s="58">
        <v>0.55000000000000004</v>
      </c>
      <c r="D6" s="58"/>
      <c r="E6" s="58">
        <v>0.56000000000000005</v>
      </c>
      <c r="F6" s="58">
        <v>0.49</v>
      </c>
      <c r="G6" s="58">
        <v>0.47</v>
      </c>
      <c r="H6" s="58"/>
      <c r="I6" s="58">
        <v>0.51</v>
      </c>
      <c r="J6" s="58">
        <v>0.43</v>
      </c>
      <c r="K6" s="58">
        <v>0.51</v>
      </c>
      <c r="L6" s="58">
        <v>0.91</v>
      </c>
      <c r="M6" s="58">
        <v>0.48</v>
      </c>
      <c r="N6" s="58">
        <v>0.32</v>
      </c>
      <c r="O6" s="58">
        <v>0.36</v>
      </c>
      <c r="P6" s="58">
        <v>0.84</v>
      </c>
      <c r="Q6" s="58">
        <v>0.34</v>
      </c>
      <c r="R6" s="58">
        <v>0.37</v>
      </c>
      <c r="S6" s="58">
        <v>0.44</v>
      </c>
      <c r="T6" s="58">
        <v>0.76</v>
      </c>
      <c r="U6" s="58">
        <v>0.42</v>
      </c>
      <c r="V6" s="58">
        <v>0.48</v>
      </c>
      <c r="W6" s="58">
        <v>0.47</v>
      </c>
      <c r="X6" s="58">
        <v>0.86</v>
      </c>
      <c r="Y6" s="58">
        <v>0.51</v>
      </c>
      <c r="Z6" s="58">
        <v>0.28999999999999998</v>
      </c>
      <c r="AA6" s="58">
        <v>0.27</v>
      </c>
      <c r="AB6" s="58">
        <v>0.56999999999999995</v>
      </c>
      <c r="AC6" s="58">
        <v>0.31</v>
      </c>
      <c r="AD6" s="58">
        <v>0.37</v>
      </c>
      <c r="AE6" s="58">
        <v>0.37</v>
      </c>
      <c r="AF6" s="58">
        <v>0.62</v>
      </c>
      <c r="AG6" s="58">
        <v>0.38</v>
      </c>
      <c r="AH6" s="58">
        <v>0.37</v>
      </c>
      <c r="AI6" s="58">
        <v>0.36</v>
      </c>
      <c r="AJ6" s="58">
        <v>0.61</v>
      </c>
      <c r="AK6" s="58">
        <v>0.38</v>
      </c>
    </row>
    <row r="7" spans="1:37" ht="15.75" customHeight="1" x14ac:dyDescent="0.3">
      <c r="A7" s="18" t="str">
        <f>Districts_Setup!$B$6</f>
        <v>Anand</v>
      </c>
      <c r="B7" s="58">
        <v>0.56999999999999995</v>
      </c>
      <c r="C7" s="58">
        <v>0.6</v>
      </c>
      <c r="D7" s="58">
        <v>0.6</v>
      </c>
      <c r="E7" s="58">
        <v>0.51</v>
      </c>
      <c r="F7" s="58">
        <v>0.51</v>
      </c>
      <c r="G7" s="58">
        <v>0.53</v>
      </c>
      <c r="H7" s="58">
        <v>0.49</v>
      </c>
      <c r="I7" s="58">
        <v>0.5</v>
      </c>
      <c r="J7" s="58">
        <v>0.46</v>
      </c>
      <c r="K7" s="58">
        <v>0.54</v>
      </c>
      <c r="L7" s="58">
        <v>0.59</v>
      </c>
      <c r="M7" s="58">
        <v>0.57999999999999996</v>
      </c>
      <c r="N7" s="58">
        <v>0.37</v>
      </c>
      <c r="O7" s="58">
        <v>0.39</v>
      </c>
      <c r="P7" s="58">
        <v>0.53</v>
      </c>
      <c r="Q7" s="58">
        <v>0.45</v>
      </c>
      <c r="R7" s="58">
        <v>0.43</v>
      </c>
      <c r="S7" s="58">
        <v>0.48</v>
      </c>
      <c r="T7" s="58">
        <v>0.5</v>
      </c>
      <c r="U7" s="58">
        <v>0.48</v>
      </c>
      <c r="V7" s="58">
        <v>0.39</v>
      </c>
      <c r="W7" s="58">
        <v>0.44</v>
      </c>
      <c r="X7" s="58">
        <v>0.62</v>
      </c>
      <c r="Y7" s="58">
        <v>0.59</v>
      </c>
      <c r="Z7" s="58">
        <v>0.27</v>
      </c>
      <c r="AA7" s="58">
        <v>0.28999999999999998</v>
      </c>
      <c r="AB7" s="58">
        <v>0.48</v>
      </c>
      <c r="AC7" s="58">
        <v>0.34</v>
      </c>
      <c r="AD7" s="58">
        <v>0.32</v>
      </c>
      <c r="AE7" s="58">
        <v>0.33</v>
      </c>
      <c r="AF7" s="58">
        <v>0.5</v>
      </c>
      <c r="AG7" s="58">
        <v>0.43</v>
      </c>
      <c r="AH7" s="58">
        <v>0.31</v>
      </c>
      <c r="AI7" s="58">
        <v>0.34</v>
      </c>
      <c r="AJ7" s="58">
        <v>0.45</v>
      </c>
      <c r="AK7" s="58">
        <v>0.41</v>
      </c>
    </row>
    <row r="8" spans="1:37" ht="15.75" customHeight="1" x14ac:dyDescent="0.3">
      <c r="A8" s="18" t="str">
        <f>Districts_Setup!$B$7</f>
        <v>Aravalli</v>
      </c>
      <c r="B8" s="58">
        <v>0.56999999999999995</v>
      </c>
      <c r="C8" s="58">
        <v>0.49</v>
      </c>
      <c r="D8" s="58"/>
      <c r="E8" s="58">
        <v>0.45</v>
      </c>
      <c r="F8" s="58">
        <v>0.53</v>
      </c>
      <c r="G8" s="58">
        <v>0.42</v>
      </c>
      <c r="H8" s="58"/>
      <c r="I8" s="58">
        <v>0.42</v>
      </c>
      <c r="J8" s="58">
        <v>0.48</v>
      </c>
      <c r="K8" s="58">
        <v>0.47</v>
      </c>
      <c r="L8" s="58">
        <v>0.52</v>
      </c>
      <c r="M8" s="58">
        <v>0.53</v>
      </c>
      <c r="N8" s="58">
        <v>0.37</v>
      </c>
      <c r="O8" s="58">
        <v>0.33</v>
      </c>
      <c r="P8" s="58">
        <v>0.56000000000000005</v>
      </c>
      <c r="Q8" s="58">
        <v>0.41</v>
      </c>
      <c r="R8" s="58">
        <v>0.42</v>
      </c>
      <c r="S8" s="58">
        <v>0.42</v>
      </c>
      <c r="T8" s="58">
        <v>0.42</v>
      </c>
      <c r="U8" s="58">
        <v>0.46</v>
      </c>
      <c r="V8" s="58">
        <v>0.39</v>
      </c>
      <c r="W8" s="58">
        <v>0.39</v>
      </c>
      <c r="X8" s="58">
        <v>0.63</v>
      </c>
      <c r="Y8" s="58">
        <v>0.52</v>
      </c>
      <c r="Z8" s="58">
        <v>0.27</v>
      </c>
      <c r="AA8" s="58">
        <v>0.27</v>
      </c>
      <c r="AB8" s="58">
        <v>0.47</v>
      </c>
      <c r="AC8" s="58">
        <v>0.34</v>
      </c>
      <c r="AD8" s="58">
        <v>0.33</v>
      </c>
      <c r="AE8" s="58">
        <v>0.33</v>
      </c>
      <c r="AF8" s="58">
        <v>0.48</v>
      </c>
      <c r="AG8" s="58">
        <v>0.4</v>
      </c>
      <c r="AH8" s="58">
        <v>0.31</v>
      </c>
      <c r="AI8" s="58">
        <v>0.31</v>
      </c>
      <c r="AJ8" s="58">
        <v>0.42</v>
      </c>
      <c r="AK8" s="58">
        <v>0.39</v>
      </c>
    </row>
    <row r="9" spans="1:37" ht="15.75" customHeight="1" x14ac:dyDescent="0.3">
      <c r="A9" s="18" t="str">
        <f>Districts_Setup!$B$8</f>
        <v>Banaskantha</v>
      </c>
      <c r="B9" s="58">
        <v>0.51</v>
      </c>
      <c r="C9" s="58">
        <v>0.57999999999999996</v>
      </c>
      <c r="D9" s="58">
        <v>0.45</v>
      </c>
      <c r="E9" s="58">
        <v>0.57999999999999996</v>
      </c>
      <c r="F9" s="58">
        <v>0.46</v>
      </c>
      <c r="G9" s="58">
        <v>0.51</v>
      </c>
      <c r="H9" s="58">
        <v>0.48</v>
      </c>
      <c r="I9" s="58">
        <v>0.52</v>
      </c>
      <c r="J9" s="58">
        <v>0.48</v>
      </c>
      <c r="K9" s="58">
        <v>0.52</v>
      </c>
      <c r="L9" s="58">
        <v>0.49</v>
      </c>
      <c r="M9" s="58">
        <v>0.59</v>
      </c>
      <c r="N9" s="58">
        <v>0.35</v>
      </c>
      <c r="O9" s="58">
        <v>0.39</v>
      </c>
      <c r="P9" s="58">
        <v>0.56000000000000005</v>
      </c>
      <c r="Q9" s="58">
        <v>0.45</v>
      </c>
      <c r="R9" s="58">
        <v>0.41</v>
      </c>
      <c r="S9" s="58">
        <v>0.45</v>
      </c>
      <c r="T9" s="58">
        <v>0.45</v>
      </c>
      <c r="U9" s="58">
        <v>0.52</v>
      </c>
      <c r="V9" s="58">
        <v>0.47</v>
      </c>
      <c r="W9" s="58">
        <v>0.49</v>
      </c>
      <c r="X9" s="58">
        <v>0.73</v>
      </c>
      <c r="Y9" s="58">
        <v>0.53</v>
      </c>
      <c r="Z9" s="58">
        <v>0.28999999999999998</v>
      </c>
      <c r="AA9" s="58">
        <v>0.28999999999999998</v>
      </c>
      <c r="AB9" s="58">
        <v>0.46</v>
      </c>
      <c r="AC9" s="58">
        <v>0.35</v>
      </c>
      <c r="AD9" s="58">
        <v>0.35</v>
      </c>
      <c r="AE9" s="58">
        <v>0.34</v>
      </c>
      <c r="AF9" s="58">
        <v>0.45</v>
      </c>
      <c r="AG9" s="58">
        <v>0.42</v>
      </c>
      <c r="AH9" s="58">
        <v>0.35</v>
      </c>
      <c r="AI9" s="58">
        <v>0.36</v>
      </c>
      <c r="AJ9" s="58">
        <v>0.48</v>
      </c>
      <c r="AK9" s="58">
        <v>0.41</v>
      </c>
    </row>
    <row r="10" spans="1:37" ht="15.75" customHeight="1" x14ac:dyDescent="0.3">
      <c r="A10" s="18" t="str">
        <f>Districts_Setup!$B$9</f>
        <v>Bharuch</v>
      </c>
      <c r="B10" s="58">
        <v>0.6</v>
      </c>
      <c r="C10" s="58">
        <v>0.47</v>
      </c>
      <c r="D10" s="58">
        <v>0.54</v>
      </c>
      <c r="E10" s="58">
        <v>0.6</v>
      </c>
      <c r="F10" s="58">
        <v>0.55000000000000004</v>
      </c>
      <c r="G10" s="58">
        <v>0.39</v>
      </c>
      <c r="H10" s="58">
        <v>0.53</v>
      </c>
      <c r="I10" s="58">
        <v>0.55000000000000004</v>
      </c>
      <c r="J10" s="58">
        <v>0.4</v>
      </c>
      <c r="K10" s="58">
        <v>0.44</v>
      </c>
      <c r="L10" s="58">
        <v>0.62</v>
      </c>
      <c r="M10" s="58">
        <v>0.52</v>
      </c>
      <c r="N10" s="58">
        <v>0.32</v>
      </c>
      <c r="O10" s="58">
        <v>0.33</v>
      </c>
      <c r="P10" s="58">
        <v>0.61</v>
      </c>
      <c r="Q10" s="58">
        <v>0.41</v>
      </c>
      <c r="R10" s="58">
        <v>0.39</v>
      </c>
      <c r="S10" s="58">
        <v>0.41</v>
      </c>
      <c r="T10" s="58">
        <v>0.52</v>
      </c>
      <c r="U10" s="58">
        <v>0.45</v>
      </c>
      <c r="V10" s="58">
        <v>0.47</v>
      </c>
      <c r="W10" s="58">
        <v>0.46</v>
      </c>
      <c r="X10" s="58">
        <v>0.71</v>
      </c>
      <c r="Y10" s="58">
        <v>0.59</v>
      </c>
      <c r="Z10" s="58">
        <v>0.28000000000000003</v>
      </c>
      <c r="AA10" s="58">
        <v>0.28999999999999998</v>
      </c>
      <c r="AB10" s="58">
        <v>0.51</v>
      </c>
      <c r="AC10" s="58">
        <v>0.38</v>
      </c>
      <c r="AD10" s="58">
        <v>0.37</v>
      </c>
      <c r="AE10" s="58">
        <v>0.35</v>
      </c>
      <c r="AF10" s="58">
        <v>0.51</v>
      </c>
      <c r="AG10" s="58">
        <v>0.42</v>
      </c>
      <c r="AH10" s="58">
        <v>0.35</v>
      </c>
      <c r="AI10" s="58">
        <v>0.34</v>
      </c>
      <c r="AJ10" s="58">
        <v>0.48</v>
      </c>
      <c r="AK10" s="58">
        <v>0.42</v>
      </c>
    </row>
    <row r="11" spans="1:37" ht="15.75" customHeight="1" x14ac:dyDescent="0.3">
      <c r="A11" s="18" t="str">
        <f>Districts_Setup!$B$10</f>
        <v>Bhavnagar</v>
      </c>
      <c r="B11" s="58">
        <v>0.61</v>
      </c>
      <c r="C11" s="58">
        <v>0.6</v>
      </c>
      <c r="D11" s="58">
        <v>0.65</v>
      </c>
      <c r="E11" s="58">
        <v>0.69</v>
      </c>
      <c r="F11" s="58">
        <v>0.55000000000000004</v>
      </c>
      <c r="G11" s="58">
        <v>0.53</v>
      </c>
      <c r="H11" s="58">
        <v>0.62</v>
      </c>
      <c r="I11" s="58">
        <v>0.61</v>
      </c>
      <c r="J11" s="58">
        <v>0.49</v>
      </c>
      <c r="K11" s="58">
        <v>0.46</v>
      </c>
      <c r="L11" s="58">
        <v>0.54</v>
      </c>
      <c r="M11" s="58">
        <v>0.6</v>
      </c>
      <c r="N11" s="58">
        <v>0.36</v>
      </c>
      <c r="O11" s="58">
        <v>0.32</v>
      </c>
      <c r="P11" s="58">
        <v>0.54</v>
      </c>
      <c r="Q11" s="58">
        <v>0.46</v>
      </c>
      <c r="R11" s="58">
        <v>0.43</v>
      </c>
      <c r="S11" s="58">
        <v>0.41</v>
      </c>
      <c r="T11" s="58">
        <v>0.45</v>
      </c>
      <c r="U11" s="58">
        <v>0.54</v>
      </c>
      <c r="V11" s="58">
        <v>0.46</v>
      </c>
      <c r="W11" s="58">
        <v>0.54</v>
      </c>
      <c r="X11" s="58">
        <v>0.66</v>
      </c>
      <c r="Y11" s="58">
        <v>0.56999999999999995</v>
      </c>
      <c r="Z11" s="58">
        <v>0.27</v>
      </c>
      <c r="AA11" s="58">
        <v>0.32</v>
      </c>
      <c r="AB11" s="58">
        <v>0.51</v>
      </c>
      <c r="AC11" s="58">
        <v>0.35</v>
      </c>
      <c r="AD11" s="58">
        <v>0.35</v>
      </c>
      <c r="AE11" s="58">
        <v>0.37</v>
      </c>
      <c r="AF11" s="58">
        <v>0.54</v>
      </c>
      <c r="AG11" s="58">
        <v>0.43</v>
      </c>
      <c r="AH11" s="58">
        <v>0.35</v>
      </c>
      <c r="AI11" s="58">
        <v>0.4</v>
      </c>
      <c r="AJ11" s="58">
        <v>0.47</v>
      </c>
      <c r="AK11" s="58">
        <v>0.44</v>
      </c>
    </row>
    <row r="12" spans="1:37" ht="15.75" customHeight="1" x14ac:dyDescent="0.3">
      <c r="A12" s="18" t="str">
        <f>Districts_Setup!$B$11</f>
        <v>Botad</v>
      </c>
      <c r="B12" s="58">
        <v>0.59</v>
      </c>
      <c r="C12" s="58"/>
      <c r="D12" s="58"/>
      <c r="E12" s="58">
        <v>0.57999999999999996</v>
      </c>
      <c r="F12" s="58">
        <v>0.54</v>
      </c>
      <c r="G12" s="58"/>
      <c r="H12" s="58"/>
      <c r="I12" s="58">
        <v>0.5</v>
      </c>
      <c r="J12" s="58">
        <v>0.47</v>
      </c>
      <c r="K12" s="58"/>
      <c r="L12" s="58">
        <v>0.54</v>
      </c>
      <c r="M12" s="58">
        <v>0.53</v>
      </c>
      <c r="N12" s="58">
        <v>0.36</v>
      </c>
      <c r="O12" s="58"/>
      <c r="P12" s="58">
        <v>0.66</v>
      </c>
      <c r="Q12" s="58">
        <v>0.39</v>
      </c>
      <c r="R12" s="58">
        <v>0.41</v>
      </c>
      <c r="S12" s="58"/>
      <c r="T12" s="58">
        <v>0.41</v>
      </c>
      <c r="U12" s="58">
        <v>0.46</v>
      </c>
      <c r="V12" s="58">
        <v>0.44</v>
      </c>
      <c r="W12" s="58">
        <v>0.5</v>
      </c>
      <c r="X12" s="58">
        <v>0.55000000000000004</v>
      </c>
      <c r="Y12" s="58">
        <v>0.48</v>
      </c>
      <c r="Z12" s="58">
        <v>0.27</v>
      </c>
      <c r="AA12" s="58">
        <v>0.31</v>
      </c>
      <c r="AB12" s="58">
        <v>0.46</v>
      </c>
      <c r="AC12" s="58">
        <v>0.28999999999999998</v>
      </c>
      <c r="AD12" s="58">
        <v>0.36</v>
      </c>
      <c r="AE12" s="58">
        <v>0.38</v>
      </c>
      <c r="AF12" s="58">
        <v>0.44</v>
      </c>
      <c r="AG12" s="58">
        <v>0.36</v>
      </c>
      <c r="AH12" s="58">
        <v>0.34</v>
      </c>
      <c r="AI12" s="58">
        <v>0.38</v>
      </c>
      <c r="AJ12" s="58">
        <v>0.37</v>
      </c>
      <c r="AK12" s="58">
        <v>0.37</v>
      </c>
    </row>
    <row r="13" spans="1:37" ht="15.75" customHeight="1" x14ac:dyDescent="0.3">
      <c r="A13" s="18" t="str">
        <f>Districts_Setup!$B$12</f>
        <v>Chhota Udepur</v>
      </c>
      <c r="B13" s="58">
        <v>0.59</v>
      </c>
      <c r="C13" s="58">
        <v>0.25</v>
      </c>
      <c r="D13" s="58"/>
      <c r="E13" s="58">
        <v>0.45</v>
      </c>
      <c r="F13" s="58">
        <v>0.55000000000000004</v>
      </c>
      <c r="G13" s="58">
        <v>0.24</v>
      </c>
      <c r="H13" s="58"/>
      <c r="I13" s="58">
        <v>0.41</v>
      </c>
      <c r="J13" s="58">
        <v>0.51</v>
      </c>
      <c r="K13" s="58">
        <v>0.35</v>
      </c>
      <c r="L13" s="58">
        <v>0.43</v>
      </c>
      <c r="M13" s="58">
        <v>0.49</v>
      </c>
      <c r="N13" s="58">
        <v>0.36</v>
      </c>
      <c r="O13" s="58">
        <v>0.27</v>
      </c>
      <c r="P13" s="58">
        <v>0.56000000000000005</v>
      </c>
      <c r="Q13" s="58">
        <v>0.35</v>
      </c>
      <c r="R13" s="58">
        <v>0.48</v>
      </c>
      <c r="S13" s="58">
        <v>0.34</v>
      </c>
      <c r="T13" s="58">
        <v>0.38</v>
      </c>
      <c r="U13" s="58">
        <v>0.41</v>
      </c>
      <c r="V13" s="58">
        <v>0.39</v>
      </c>
      <c r="W13" s="58">
        <v>0.42</v>
      </c>
      <c r="X13" s="58">
        <v>0.57999999999999996</v>
      </c>
      <c r="Y13" s="58">
        <v>0.48</v>
      </c>
      <c r="Z13" s="58">
        <v>0.26</v>
      </c>
      <c r="AA13" s="58">
        <v>0.28999999999999998</v>
      </c>
      <c r="AB13" s="58">
        <v>0.5</v>
      </c>
      <c r="AC13" s="58">
        <v>0.31</v>
      </c>
      <c r="AD13" s="58">
        <v>0.32</v>
      </c>
      <c r="AE13" s="58">
        <v>0.34</v>
      </c>
      <c r="AF13" s="58">
        <v>0.38</v>
      </c>
      <c r="AG13" s="58">
        <v>0.38</v>
      </c>
      <c r="AH13" s="58">
        <v>0.33</v>
      </c>
      <c r="AI13" s="58">
        <v>0.33</v>
      </c>
      <c r="AJ13" s="58">
        <v>0.47</v>
      </c>
      <c r="AK13" s="58">
        <v>0.36</v>
      </c>
    </row>
    <row r="14" spans="1:37" ht="15.75" customHeight="1" x14ac:dyDescent="0.3">
      <c r="A14" s="18" t="str">
        <f>Districts_Setup!$B$13</f>
        <v>Dahod</v>
      </c>
      <c r="B14" s="58">
        <v>0.56000000000000005</v>
      </c>
      <c r="C14" s="58">
        <v>0.65</v>
      </c>
      <c r="D14" s="58">
        <v>0.43</v>
      </c>
      <c r="E14" s="58">
        <v>0.62</v>
      </c>
      <c r="F14" s="58">
        <v>0.51</v>
      </c>
      <c r="G14" s="58">
        <v>0.59</v>
      </c>
      <c r="H14" s="58">
        <v>0.43</v>
      </c>
      <c r="I14" s="58">
        <v>0.54</v>
      </c>
      <c r="J14" s="58">
        <v>0.44</v>
      </c>
      <c r="K14" s="58">
        <v>0.49</v>
      </c>
      <c r="L14" s="58">
        <v>0.47</v>
      </c>
      <c r="M14" s="58">
        <v>0.53</v>
      </c>
      <c r="N14" s="58">
        <v>0.38</v>
      </c>
      <c r="O14" s="58">
        <v>0.41</v>
      </c>
      <c r="P14" s="58">
        <v>0.48</v>
      </c>
      <c r="Q14" s="58">
        <v>0.44</v>
      </c>
      <c r="R14" s="58">
        <v>0.42</v>
      </c>
      <c r="S14" s="58">
        <v>0.47</v>
      </c>
      <c r="T14" s="58">
        <v>0.38</v>
      </c>
      <c r="U14" s="58">
        <v>0.48</v>
      </c>
      <c r="V14" s="58">
        <v>0.38</v>
      </c>
      <c r="W14" s="58">
        <v>0.34</v>
      </c>
      <c r="X14" s="58">
        <v>0.61</v>
      </c>
      <c r="Y14" s="58">
        <v>0.43</v>
      </c>
      <c r="Z14" s="58">
        <v>0.28000000000000003</v>
      </c>
      <c r="AA14" s="58">
        <v>0.25</v>
      </c>
      <c r="AB14" s="58">
        <v>0.46</v>
      </c>
      <c r="AC14" s="58">
        <v>0.3</v>
      </c>
      <c r="AD14" s="58">
        <v>0.32</v>
      </c>
      <c r="AE14" s="58">
        <v>0.28000000000000003</v>
      </c>
      <c r="AF14" s="58">
        <v>0.42</v>
      </c>
      <c r="AG14" s="58">
        <v>0.31</v>
      </c>
      <c r="AH14" s="58">
        <v>0.32</v>
      </c>
      <c r="AI14" s="58">
        <v>0.28999999999999998</v>
      </c>
      <c r="AJ14" s="58">
        <v>0.41</v>
      </c>
      <c r="AK14" s="58">
        <v>0.31</v>
      </c>
    </row>
    <row r="15" spans="1:37" ht="15.75" customHeight="1" x14ac:dyDescent="0.3">
      <c r="A15" s="18" t="str">
        <f>Districts_Setup!$B$14</f>
        <v>Dang</v>
      </c>
      <c r="B15" s="58">
        <v>0.64</v>
      </c>
      <c r="C15" s="58">
        <v>0.62</v>
      </c>
      <c r="D15" s="58"/>
      <c r="E15" s="58">
        <v>0.54</v>
      </c>
      <c r="F15" s="58">
        <v>0.61</v>
      </c>
      <c r="G15" s="58">
        <v>0.52</v>
      </c>
      <c r="H15" s="58"/>
      <c r="I15" s="58">
        <v>0.47</v>
      </c>
      <c r="J15" s="58">
        <v>0.51</v>
      </c>
      <c r="K15" s="58">
        <v>0.66</v>
      </c>
      <c r="L15" s="58"/>
      <c r="M15" s="58">
        <v>0.56999999999999995</v>
      </c>
      <c r="N15" s="58">
        <v>0.37</v>
      </c>
      <c r="O15" s="58">
        <v>0.49</v>
      </c>
      <c r="P15" s="58"/>
      <c r="Q15" s="58">
        <v>0.37</v>
      </c>
      <c r="R15" s="58">
        <v>0.47</v>
      </c>
      <c r="S15" s="58">
        <v>0.6</v>
      </c>
      <c r="T15" s="58"/>
      <c r="U15" s="58">
        <v>0.47</v>
      </c>
      <c r="V15" s="58">
        <v>0.39</v>
      </c>
      <c r="W15" s="58">
        <v>0.46</v>
      </c>
      <c r="X15" s="58">
        <v>0.55000000000000004</v>
      </c>
      <c r="Y15" s="58">
        <v>0.54</v>
      </c>
      <c r="Z15" s="58">
        <v>0.24</v>
      </c>
      <c r="AA15" s="58">
        <v>0.27</v>
      </c>
      <c r="AB15" s="58">
        <v>0.32</v>
      </c>
      <c r="AC15" s="58">
        <v>0.28999999999999998</v>
      </c>
      <c r="AD15" s="58">
        <v>0.33</v>
      </c>
      <c r="AE15" s="58">
        <v>0.33</v>
      </c>
      <c r="AF15" s="58">
        <v>0.37</v>
      </c>
      <c r="AG15" s="58">
        <v>0.36</v>
      </c>
      <c r="AH15" s="58">
        <v>0.32</v>
      </c>
      <c r="AI15" s="58">
        <v>0.36</v>
      </c>
      <c r="AJ15" s="58">
        <v>0.4</v>
      </c>
      <c r="AK15" s="58">
        <v>0.41</v>
      </c>
    </row>
    <row r="16" spans="1:37" ht="15.75" customHeight="1" x14ac:dyDescent="0.3">
      <c r="A16" s="18" t="str">
        <f>Districts_Setup!$B$15</f>
        <v>Devbhoomi Dwarka</v>
      </c>
      <c r="B16" s="58">
        <v>0.62</v>
      </c>
      <c r="C16" s="58">
        <v>0.48</v>
      </c>
      <c r="D16" s="58">
        <v>0.43</v>
      </c>
      <c r="E16" s="58">
        <v>0.56000000000000005</v>
      </c>
      <c r="F16" s="58">
        <v>0.56000000000000005</v>
      </c>
      <c r="G16" s="58">
        <v>0.43</v>
      </c>
      <c r="H16" s="58">
        <v>0.43</v>
      </c>
      <c r="I16" s="58">
        <v>0.5</v>
      </c>
      <c r="J16" s="58">
        <v>0.53</v>
      </c>
      <c r="K16" s="58">
        <v>0.59</v>
      </c>
      <c r="L16" s="58">
        <v>0.61</v>
      </c>
      <c r="M16" s="58">
        <v>0.57999999999999996</v>
      </c>
      <c r="N16" s="58">
        <v>0.41</v>
      </c>
      <c r="O16" s="58">
        <v>0.44</v>
      </c>
      <c r="P16" s="58">
        <v>0.57999999999999996</v>
      </c>
      <c r="Q16" s="58">
        <v>0.42</v>
      </c>
      <c r="R16" s="58">
        <v>0.48</v>
      </c>
      <c r="S16" s="58">
        <v>0.53</v>
      </c>
      <c r="T16" s="58">
        <v>0.47</v>
      </c>
      <c r="U16" s="58">
        <v>0.48</v>
      </c>
      <c r="V16" s="58">
        <v>0.52</v>
      </c>
      <c r="W16" s="58">
        <v>0.49</v>
      </c>
      <c r="X16" s="58">
        <v>0.68</v>
      </c>
      <c r="Y16" s="58">
        <v>0.57999999999999996</v>
      </c>
      <c r="Z16" s="58">
        <v>0.3</v>
      </c>
      <c r="AA16" s="58">
        <v>0.28999999999999998</v>
      </c>
      <c r="AB16" s="58">
        <v>0.44</v>
      </c>
      <c r="AC16" s="58">
        <v>0.36</v>
      </c>
      <c r="AD16" s="58">
        <v>0.38</v>
      </c>
      <c r="AE16" s="58">
        <v>0.38</v>
      </c>
      <c r="AF16" s="58">
        <v>0.45</v>
      </c>
      <c r="AG16" s="58">
        <v>0.43</v>
      </c>
      <c r="AH16" s="58">
        <v>0.38</v>
      </c>
      <c r="AI16" s="58">
        <v>0.37</v>
      </c>
      <c r="AJ16" s="58">
        <v>0.43</v>
      </c>
      <c r="AK16" s="58">
        <v>0.43</v>
      </c>
    </row>
    <row r="17" spans="1:37" ht="15.75" customHeight="1" x14ac:dyDescent="0.3">
      <c r="A17" s="18" t="str">
        <f>Districts_Setup!$B$16</f>
        <v>Gandhinagar</v>
      </c>
      <c r="B17" s="58">
        <v>0.56000000000000005</v>
      </c>
      <c r="C17" s="58">
        <v>0.75</v>
      </c>
      <c r="D17" s="58">
        <v>0.63</v>
      </c>
      <c r="E17" s="58">
        <v>0.67</v>
      </c>
      <c r="F17" s="58">
        <v>0.54</v>
      </c>
      <c r="G17" s="58">
        <v>0.71</v>
      </c>
      <c r="H17" s="58">
        <v>0.62</v>
      </c>
      <c r="I17" s="58">
        <v>0.61</v>
      </c>
      <c r="J17" s="58">
        <v>0.44</v>
      </c>
      <c r="K17" s="58">
        <v>0.51</v>
      </c>
      <c r="L17" s="58">
        <v>0.68</v>
      </c>
      <c r="M17" s="58">
        <v>0.6</v>
      </c>
      <c r="N17" s="58">
        <v>0.32</v>
      </c>
      <c r="O17" s="58">
        <v>0.39</v>
      </c>
      <c r="P17" s="58">
        <v>0.6</v>
      </c>
      <c r="Q17" s="58">
        <v>0.48</v>
      </c>
      <c r="R17" s="58">
        <v>0.41</v>
      </c>
      <c r="S17" s="58">
        <v>0.47</v>
      </c>
      <c r="T17" s="58">
        <v>0.57999999999999996</v>
      </c>
      <c r="U17" s="58">
        <v>0.53</v>
      </c>
      <c r="V17" s="58">
        <v>0.61</v>
      </c>
      <c r="W17" s="58">
        <v>0.49</v>
      </c>
      <c r="X17" s="58">
        <v>0.64</v>
      </c>
      <c r="Y17" s="58">
        <v>0.66</v>
      </c>
      <c r="Z17" s="58">
        <v>0.33</v>
      </c>
      <c r="AA17" s="58">
        <v>0.28999999999999998</v>
      </c>
      <c r="AB17" s="58">
        <v>0.45</v>
      </c>
      <c r="AC17" s="58">
        <v>0.42</v>
      </c>
      <c r="AD17" s="58">
        <v>0.42</v>
      </c>
      <c r="AE17" s="58">
        <v>0.37</v>
      </c>
      <c r="AF17" s="58">
        <v>0.49</v>
      </c>
      <c r="AG17" s="58">
        <v>0.5</v>
      </c>
      <c r="AH17" s="58">
        <v>0.41</v>
      </c>
      <c r="AI17" s="58">
        <v>0.36</v>
      </c>
      <c r="AJ17" s="58">
        <v>0.46</v>
      </c>
      <c r="AK17" s="58">
        <v>0.48</v>
      </c>
    </row>
    <row r="18" spans="1:37" ht="15.75" customHeight="1" x14ac:dyDescent="0.3">
      <c r="A18" s="18" t="str">
        <f>Districts_Setup!$B$17</f>
        <v>Gir Somnath</v>
      </c>
      <c r="B18" s="58">
        <v>0.48</v>
      </c>
      <c r="C18" s="58"/>
      <c r="D18" s="58"/>
      <c r="E18" s="58">
        <v>0.51</v>
      </c>
      <c r="F18" s="58">
        <v>0.44</v>
      </c>
      <c r="G18" s="58"/>
      <c r="H18" s="58"/>
      <c r="I18" s="58">
        <v>0.47</v>
      </c>
      <c r="J18" s="58">
        <v>0.45</v>
      </c>
      <c r="K18" s="58">
        <v>0.24</v>
      </c>
      <c r="L18" s="58">
        <v>0.5</v>
      </c>
      <c r="M18" s="58">
        <v>0.48</v>
      </c>
      <c r="N18" s="58">
        <v>0.35</v>
      </c>
      <c r="O18" s="58">
        <v>0.25</v>
      </c>
      <c r="P18" s="58">
        <v>0.78</v>
      </c>
      <c r="Q18" s="58">
        <v>0.41</v>
      </c>
      <c r="R18" s="58">
        <v>0.4</v>
      </c>
      <c r="S18" s="58">
        <v>0.3</v>
      </c>
      <c r="T18" s="58">
        <v>0.43</v>
      </c>
      <c r="U18" s="58">
        <v>0.44</v>
      </c>
      <c r="V18" s="58">
        <v>0.46</v>
      </c>
      <c r="W18" s="58">
        <v>0.4</v>
      </c>
      <c r="X18" s="58">
        <v>0.56000000000000005</v>
      </c>
      <c r="Y18" s="58">
        <v>0.47</v>
      </c>
      <c r="Z18" s="58">
        <v>0.28000000000000003</v>
      </c>
      <c r="AA18" s="58">
        <v>0.28000000000000003</v>
      </c>
      <c r="AB18" s="58">
        <v>0.54</v>
      </c>
      <c r="AC18" s="58">
        <v>0.33</v>
      </c>
      <c r="AD18" s="58">
        <v>0.37</v>
      </c>
      <c r="AE18" s="58">
        <v>0.32</v>
      </c>
      <c r="AF18" s="58">
        <v>0.52</v>
      </c>
      <c r="AG18" s="58">
        <v>0.37</v>
      </c>
      <c r="AH18" s="58">
        <v>0.34</v>
      </c>
      <c r="AI18" s="58">
        <v>0.33</v>
      </c>
      <c r="AJ18" s="58">
        <v>0.47</v>
      </c>
      <c r="AK18" s="58">
        <v>0.39</v>
      </c>
    </row>
    <row r="19" spans="1:37" ht="15.75" customHeight="1" x14ac:dyDescent="0.3">
      <c r="A19" s="18" t="str">
        <f>Districts_Setup!$B$18</f>
        <v>Jamnagar</v>
      </c>
      <c r="B19" s="58">
        <v>0.51</v>
      </c>
      <c r="C19" s="58">
        <v>0.37</v>
      </c>
      <c r="D19" s="58">
        <v>0.46</v>
      </c>
      <c r="E19" s="58">
        <v>0.54</v>
      </c>
      <c r="F19" s="58">
        <v>0.46</v>
      </c>
      <c r="G19" s="58">
        <v>0.36</v>
      </c>
      <c r="H19" s="58">
        <v>0.43</v>
      </c>
      <c r="I19" s="58">
        <v>0.49</v>
      </c>
      <c r="J19" s="58">
        <v>0.43</v>
      </c>
      <c r="K19" s="58">
        <v>0.44</v>
      </c>
      <c r="L19" s="58">
        <v>0.65</v>
      </c>
      <c r="M19" s="58">
        <v>0.52</v>
      </c>
      <c r="N19" s="58">
        <v>0.32</v>
      </c>
      <c r="O19" s="58">
        <v>0.28999999999999998</v>
      </c>
      <c r="P19" s="58">
        <v>0.64</v>
      </c>
      <c r="Q19" s="58">
        <v>0.39</v>
      </c>
      <c r="R19" s="58">
        <v>0.38</v>
      </c>
      <c r="S19" s="58">
        <v>0.39</v>
      </c>
      <c r="T19" s="58">
        <v>0.56000000000000005</v>
      </c>
      <c r="U19" s="58">
        <v>0.49</v>
      </c>
      <c r="V19" s="58">
        <v>0.44</v>
      </c>
      <c r="W19" s="58">
        <v>0.54</v>
      </c>
      <c r="X19" s="58">
        <v>0.59</v>
      </c>
      <c r="Y19" s="58">
        <v>0.56999999999999995</v>
      </c>
      <c r="Z19" s="58">
        <v>0.28999999999999998</v>
      </c>
      <c r="AA19" s="58">
        <v>0.28999999999999998</v>
      </c>
      <c r="AB19" s="58">
        <v>0.47</v>
      </c>
      <c r="AC19" s="58">
        <v>0.36</v>
      </c>
      <c r="AD19" s="58">
        <v>0.35</v>
      </c>
      <c r="AE19" s="58">
        <v>0.38</v>
      </c>
      <c r="AF19" s="58">
        <v>0.48</v>
      </c>
      <c r="AG19" s="58">
        <v>0.43</v>
      </c>
      <c r="AH19" s="58">
        <v>0.33</v>
      </c>
      <c r="AI19" s="58">
        <v>0.39</v>
      </c>
      <c r="AJ19" s="58">
        <v>0.47</v>
      </c>
      <c r="AK19" s="58">
        <v>0.41</v>
      </c>
    </row>
    <row r="20" spans="1:37" ht="15.75" customHeight="1" x14ac:dyDescent="0.3">
      <c r="A20" s="18" t="str">
        <f>Districts_Setup!$B$19</f>
        <v>Junagadh</v>
      </c>
      <c r="B20" s="58">
        <v>0.55000000000000004</v>
      </c>
      <c r="C20" s="58">
        <v>0.63</v>
      </c>
      <c r="D20" s="58">
        <v>0.62</v>
      </c>
      <c r="E20" s="58">
        <v>0.6</v>
      </c>
      <c r="F20" s="58">
        <v>0.47</v>
      </c>
      <c r="G20" s="58">
        <v>0.56000000000000005</v>
      </c>
      <c r="H20" s="58">
        <v>0.54</v>
      </c>
      <c r="I20" s="58">
        <v>0.54</v>
      </c>
      <c r="J20" s="58">
        <v>0.51</v>
      </c>
      <c r="K20" s="58">
        <v>0.28999999999999998</v>
      </c>
      <c r="L20" s="58">
        <v>0.54</v>
      </c>
      <c r="M20" s="58">
        <v>0.64</v>
      </c>
      <c r="N20" s="58">
        <v>0.4</v>
      </c>
      <c r="O20" s="58">
        <v>0.25</v>
      </c>
      <c r="P20" s="58">
        <v>0.55000000000000004</v>
      </c>
      <c r="Q20" s="58">
        <v>0.49</v>
      </c>
      <c r="R20" s="58">
        <v>0.44</v>
      </c>
      <c r="S20" s="58">
        <v>0.32</v>
      </c>
      <c r="T20" s="58">
        <v>0.42</v>
      </c>
      <c r="U20" s="58">
        <v>0.55000000000000004</v>
      </c>
      <c r="V20" s="58">
        <v>0.48</v>
      </c>
      <c r="W20" s="58">
        <v>0.48</v>
      </c>
      <c r="X20" s="58">
        <v>0.61</v>
      </c>
      <c r="Y20" s="58">
        <v>0.57999999999999996</v>
      </c>
      <c r="Z20" s="58">
        <v>0.28999999999999998</v>
      </c>
      <c r="AA20" s="58">
        <v>0.28000000000000003</v>
      </c>
      <c r="AB20" s="58">
        <v>0.48</v>
      </c>
      <c r="AC20" s="58">
        <v>0.36</v>
      </c>
      <c r="AD20" s="58">
        <v>0.38</v>
      </c>
      <c r="AE20" s="58">
        <v>0.37</v>
      </c>
      <c r="AF20" s="58">
        <v>0.45</v>
      </c>
      <c r="AG20" s="58">
        <v>0.45</v>
      </c>
      <c r="AH20" s="58">
        <v>0.36</v>
      </c>
      <c r="AI20" s="58">
        <v>0.37</v>
      </c>
      <c r="AJ20" s="58">
        <v>0.48</v>
      </c>
      <c r="AK20" s="58">
        <v>0.44</v>
      </c>
    </row>
    <row r="21" spans="1:37" ht="15.75" customHeight="1" x14ac:dyDescent="0.3">
      <c r="A21" s="18" t="str">
        <f>Districts_Setup!$B$20</f>
        <v>Kutch</v>
      </c>
      <c r="B21" s="58">
        <v>0.5</v>
      </c>
      <c r="C21" s="58">
        <v>0.55000000000000004</v>
      </c>
      <c r="D21" s="58">
        <v>0.49</v>
      </c>
      <c r="E21" s="58">
        <v>0.52</v>
      </c>
      <c r="F21" s="58">
        <v>0.47</v>
      </c>
      <c r="G21" s="58">
        <v>0.51</v>
      </c>
      <c r="H21" s="58">
        <v>0.46</v>
      </c>
      <c r="I21" s="58">
        <v>0.47</v>
      </c>
      <c r="J21" s="58">
        <v>0.45</v>
      </c>
      <c r="K21" s="58">
        <v>0.47</v>
      </c>
      <c r="L21" s="58">
        <v>0.63</v>
      </c>
      <c r="M21" s="58">
        <v>0.56999999999999995</v>
      </c>
      <c r="N21" s="58">
        <v>0.35</v>
      </c>
      <c r="O21" s="58">
        <v>0.33</v>
      </c>
      <c r="P21" s="58">
        <v>0.56999999999999995</v>
      </c>
      <c r="Q21" s="58">
        <v>0.44</v>
      </c>
      <c r="R21" s="58">
        <v>0.39</v>
      </c>
      <c r="S21" s="58">
        <v>0.41</v>
      </c>
      <c r="T21" s="58">
        <v>0.53</v>
      </c>
      <c r="U21" s="58">
        <v>0.49</v>
      </c>
      <c r="V21" s="58">
        <v>0.43</v>
      </c>
      <c r="W21" s="58">
        <v>0.5</v>
      </c>
      <c r="X21" s="58">
        <v>0.68</v>
      </c>
      <c r="Y21" s="58">
        <v>0.59</v>
      </c>
      <c r="Z21" s="58">
        <v>0.27</v>
      </c>
      <c r="AA21" s="58">
        <v>0.3</v>
      </c>
      <c r="AB21" s="58">
        <v>0.48</v>
      </c>
      <c r="AC21" s="58">
        <v>0.35</v>
      </c>
      <c r="AD21" s="58">
        <v>0.33</v>
      </c>
      <c r="AE21" s="58">
        <v>0.37</v>
      </c>
      <c r="AF21" s="58">
        <v>0.54</v>
      </c>
      <c r="AG21" s="58">
        <v>0.43</v>
      </c>
      <c r="AH21" s="58">
        <v>0.33</v>
      </c>
      <c r="AI21" s="58">
        <v>0.36</v>
      </c>
      <c r="AJ21" s="58">
        <v>0.47</v>
      </c>
      <c r="AK21" s="58">
        <v>0.41</v>
      </c>
    </row>
    <row r="22" spans="1:37" ht="15.75" customHeight="1" x14ac:dyDescent="0.3">
      <c r="A22" s="18" t="str">
        <f>Districts_Setup!$B$21</f>
        <v>Kheda</v>
      </c>
      <c r="B22" s="58">
        <v>0.52</v>
      </c>
      <c r="C22" s="58">
        <v>0.57999999999999996</v>
      </c>
      <c r="D22" s="58"/>
      <c r="E22" s="58">
        <v>0.45</v>
      </c>
      <c r="F22" s="58">
        <v>0.47</v>
      </c>
      <c r="G22" s="58">
        <v>0.51</v>
      </c>
      <c r="H22" s="58"/>
      <c r="I22" s="58">
        <v>0.4</v>
      </c>
      <c r="J22" s="58">
        <v>0.43</v>
      </c>
      <c r="K22" s="58">
        <v>0.44</v>
      </c>
      <c r="L22" s="58"/>
      <c r="M22" s="58">
        <v>0.51</v>
      </c>
      <c r="N22" s="58">
        <v>0.34</v>
      </c>
      <c r="O22" s="58">
        <v>0.31</v>
      </c>
      <c r="P22" s="58"/>
      <c r="Q22" s="58">
        <v>0.39</v>
      </c>
      <c r="R22" s="58">
        <v>0.41</v>
      </c>
      <c r="S22" s="58">
        <v>0.41</v>
      </c>
      <c r="T22" s="58"/>
      <c r="U22" s="58">
        <v>0.47</v>
      </c>
      <c r="V22" s="58">
        <v>0.39</v>
      </c>
      <c r="W22" s="58">
        <v>0.41</v>
      </c>
      <c r="X22" s="58">
        <v>0.61</v>
      </c>
      <c r="Y22" s="58">
        <v>0.53</v>
      </c>
      <c r="Z22" s="58">
        <v>0.26</v>
      </c>
      <c r="AA22" s="58">
        <v>0.26</v>
      </c>
      <c r="AB22" s="58">
        <v>0.55000000000000004</v>
      </c>
      <c r="AC22" s="58">
        <v>0.33</v>
      </c>
      <c r="AD22" s="58">
        <v>0.33</v>
      </c>
      <c r="AE22" s="58">
        <v>0.33</v>
      </c>
      <c r="AF22" s="58">
        <v>0.53</v>
      </c>
      <c r="AG22" s="58">
        <v>0.39</v>
      </c>
      <c r="AH22" s="58">
        <v>0.28999999999999998</v>
      </c>
      <c r="AI22" s="58">
        <v>0.33</v>
      </c>
      <c r="AJ22" s="58">
        <v>0.44</v>
      </c>
      <c r="AK22" s="58">
        <v>0.4</v>
      </c>
    </row>
    <row r="23" spans="1:37" ht="15.75" customHeight="1" x14ac:dyDescent="0.3">
      <c r="A23" s="18" t="str">
        <f>Districts_Setup!$B$22</f>
        <v>Mahisagar</v>
      </c>
      <c r="B23" s="58">
        <v>0.61</v>
      </c>
      <c r="C23" s="58">
        <v>0.5</v>
      </c>
      <c r="D23" s="58"/>
      <c r="E23" s="58">
        <v>0.57999999999999996</v>
      </c>
      <c r="F23" s="58">
        <v>0.55000000000000004</v>
      </c>
      <c r="G23" s="58">
        <v>0.44</v>
      </c>
      <c r="H23" s="58"/>
      <c r="I23" s="58">
        <v>0.49</v>
      </c>
      <c r="J23" s="58">
        <v>0.41</v>
      </c>
      <c r="K23" s="58">
        <v>0.5</v>
      </c>
      <c r="L23" s="58">
        <v>0.43</v>
      </c>
      <c r="M23" s="58">
        <v>0.59</v>
      </c>
      <c r="N23" s="58">
        <v>0.33</v>
      </c>
      <c r="O23" s="58">
        <v>0.42</v>
      </c>
      <c r="P23" s="58">
        <v>0.59</v>
      </c>
      <c r="Q23" s="58">
        <v>0.45</v>
      </c>
      <c r="R23" s="58">
        <v>0.36</v>
      </c>
      <c r="S23" s="58">
        <v>0.47</v>
      </c>
      <c r="T23" s="58">
        <v>0.37</v>
      </c>
      <c r="U23" s="58">
        <v>0.51</v>
      </c>
      <c r="V23" s="58">
        <v>0.44</v>
      </c>
      <c r="W23" s="58">
        <v>0.36</v>
      </c>
      <c r="X23" s="58">
        <v>0.49</v>
      </c>
      <c r="Y23" s="58">
        <v>0.52</v>
      </c>
      <c r="Z23" s="58">
        <v>0.3</v>
      </c>
      <c r="AA23" s="58">
        <v>0.26</v>
      </c>
      <c r="AB23" s="58">
        <v>0.35</v>
      </c>
      <c r="AC23" s="58">
        <v>0.33</v>
      </c>
      <c r="AD23" s="58">
        <v>0.35</v>
      </c>
      <c r="AE23" s="58">
        <v>0.32</v>
      </c>
      <c r="AF23" s="58">
        <v>0.43</v>
      </c>
      <c r="AG23" s="58">
        <v>0.39</v>
      </c>
      <c r="AH23" s="58">
        <v>0.33</v>
      </c>
      <c r="AI23" s="58">
        <v>0.28999999999999998</v>
      </c>
      <c r="AJ23" s="58">
        <v>0.36</v>
      </c>
      <c r="AK23" s="58">
        <v>0.36</v>
      </c>
    </row>
    <row r="24" spans="1:37" ht="15.75" customHeight="1" x14ac:dyDescent="0.3">
      <c r="A24" s="18" t="str">
        <f>Districts_Setup!$B$23</f>
        <v>Mehsana</v>
      </c>
      <c r="B24" s="58">
        <v>0.55000000000000004</v>
      </c>
      <c r="C24" s="58">
        <v>0.68</v>
      </c>
      <c r="D24" s="58">
        <v>0.56999999999999995</v>
      </c>
      <c r="E24" s="58">
        <v>0.54</v>
      </c>
      <c r="F24" s="58">
        <v>0.53</v>
      </c>
      <c r="G24" s="58">
        <v>0.61</v>
      </c>
      <c r="H24" s="58">
        <v>0.56000000000000005</v>
      </c>
      <c r="I24" s="58">
        <v>0.47</v>
      </c>
      <c r="J24" s="58">
        <v>0.53</v>
      </c>
      <c r="K24" s="58">
        <v>0.51</v>
      </c>
      <c r="L24" s="58">
        <v>0.62</v>
      </c>
      <c r="M24" s="58">
        <v>0.61</v>
      </c>
      <c r="N24" s="58">
        <v>0.38</v>
      </c>
      <c r="O24" s="58">
        <v>0.37</v>
      </c>
      <c r="P24" s="58">
        <v>0.6</v>
      </c>
      <c r="Q24" s="58">
        <v>0.49</v>
      </c>
      <c r="R24" s="58">
        <v>0.44</v>
      </c>
      <c r="S24" s="58">
        <v>0.46</v>
      </c>
      <c r="T24" s="58">
        <v>0.48</v>
      </c>
      <c r="U24" s="58">
        <v>0.52</v>
      </c>
      <c r="V24" s="58">
        <v>0.41</v>
      </c>
      <c r="W24" s="58">
        <v>0.5</v>
      </c>
      <c r="X24" s="58">
        <v>0.71</v>
      </c>
      <c r="Y24" s="58">
        <v>0.55000000000000004</v>
      </c>
      <c r="Z24" s="58">
        <v>0.27</v>
      </c>
      <c r="AA24" s="58">
        <v>0.28000000000000003</v>
      </c>
      <c r="AB24" s="58">
        <v>0.55000000000000004</v>
      </c>
      <c r="AC24" s="58">
        <v>0.35</v>
      </c>
      <c r="AD24" s="58">
        <v>0.32</v>
      </c>
      <c r="AE24" s="58">
        <v>0.35</v>
      </c>
      <c r="AF24" s="58">
        <v>0.57999999999999996</v>
      </c>
      <c r="AG24" s="58">
        <v>0.41</v>
      </c>
      <c r="AH24" s="58">
        <v>0.32</v>
      </c>
      <c r="AI24" s="58">
        <v>0.37</v>
      </c>
      <c r="AJ24" s="58">
        <v>0.45</v>
      </c>
      <c r="AK24" s="58">
        <v>0.41</v>
      </c>
    </row>
    <row r="25" spans="1:37" ht="15.75" customHeight="1" x14ac:dyDescent="0.3">
      <c r="A25" s="18" t="str">
        <f>Districts_Setup!$B$24</f>
        <v>Morbi</v>
      </c>
      <c r="B25" s="58">
        <v>0.55000000000000004</v>
      </c>
      <c r="C25" s="58"/>
      <c r="D25" s="58"/>
      <c r="E25" s="58">
        <v>0.65</v>
      </c>
      <c r="F25" s="58">
        <v>0.49</v>
      </c>
      <c r="G25" s="58"/>
      <c r="H25" s="58"/>
      <c r="I25" s="58">
        <v>0.56999999999999995</v>
      </c>
      <c r="J25" s="58">
        <v>0.48</v>
      </c>
      <c r="K25" s="58">
        <v>0.63</v>
      </c>
      <c r="L25" s="58">
        <v>0.39</v>
      </c>
      <c r="M25" s="58">
        <v>0.53</v>
      </c>
      <c r="N25" s="58">
        <v>0.36</v>
      </c>
      <c r="O25" s="58">
        <v>0.47</v>
      </c>
      <c r="P25" s="58">
        <v>0.56000000000000005</v>
      </c>
      <c r="Q25" s="58">
        <v>0.44</v>
      </c>
      <c r="R25" s="58">
        <v>0.43</v>
      </c>
      <c r="S25" s="58">
        <v>0.51</v>
      </c>
      <c r="T25" s="58">
        <v>0.33</v>
      </c>
      <c r="U25" s="58">
        <v>0.46</v>
      </c>
      <c r="V25" s="58">
        <v>0.44</v>
      </c>
      <c r="W25" s="58">
        <v>0.48</v>
      </c>
      <c r="X25" s="58">
        <v>0.68</v>
      </c>
      <c r="Y25" s="58">
        <v>0.54</v>
      </c>
      <c r="Z25" s="58">
        <v>0.27</v>
      </c>
      <c r="AA25" s="58">
        <v>0.3</v>
      </c>
      <c r="AB25" s="58">
        <v>0.49</v>
      </c>
      <c r="AC25" s="58">
        <v>0.33</v>
      </c>
      <c r="AD25" s="58">
        <v>0.35</v>
      </c>
      <c r="AE25" s="58">
        <v>0.36</v>
      </c>
      <c r="AF25" s="58">
        <v>0.55000000000000004</v>
      </c>
      <c r="AG25" s="58">
        <v>0.41</v>
      </c>
      <c r="AH25" s="58">
        <v>0.32</v>
      </c>
      <c r="AI25" s="58">
        <v>0.36</v>
      </c>
      <c r="AJ25" s="58">
        <v>0.44</v>
      </c>
      <c r="AK25" s="58">
        <v>0.4</v>
      </c>
    </row>
    <row r="26" spans="1:37" ht="15.75" customHeight="1" x14ac:dyDescent="0.3">
      <c r="A26" s="18" t="str">
        <f>Districts_Setup!$B$25</f>
        <v>Narmada</v>
      </c>
      <c r="B26" s="58">
        <v>0.63</v>
      </c>
      <c r="C26" s="58">
        <v>0.98</v>
      </c>
      <c r="D26" s="58"/>
      <c r="E26" s="58">
        <v>0.98</v>
      </c>
      <c r="F26" s="58">
        <v>0.53</v>
      </c>
      <c r="G26" s="58">
        <v>0.87</v>
      </c>
      <c r="H26" s="58"/>
      <c r="I26" s="58">
        <v>0.45</v>
      </c>
      <c r="J26" s="58">
        <v>0.43</v>
      </c>
      <c r="K26" s="58">
        <v>0.49</v>
      </c>
      <c r="L26" s="58">
        <v>0.59</v>
      </c>
      <c r="M26" s="58">
        <v>0.53</v>
      </c>
      <c r="N26" s="58">
        <v>0.35</v>
      </c>
      <c r="O26" s="58">
        <v>0.39</v>
      </c>
      <c r="P26" s="58">
        <v>0.6</v>
      </c>
      <c r="Q26" s="58">
        <v>0.39</v>
      </c>
      <c r="R26" s="58">
        <v>0.4</v>
      </c>
      <c r="S26" s="58">
        <v>0.46</v>
      </c>
      <c r="T26" s="58">
        <v>0.48</v>
      </c>
      <c r="U26" s="58">
        <v>0.44</v>
      </c>
      <c r="V26" s="58">
        <v>0.5</v>
      </c>
      <c r="W26" s="58">
        <v>0.4</v>
      </c>
      <c r="X26" s="58">
        <v>0.66</v>
      </c>
      <c r="Y26" s="58">
        <v>0.57999999999999996</v>
      </c>
      <c r="Z26" s="58">
        <v>0.28000000000000003</v>
      </c>
      <c r="AA26" s="58">
        <v>0.26</v>
      </c>
      <c r="AB26" s="58">
        <v>0.38</v>
      </c>
      <c r="AC26" s="58">
        <v>0.33</v>
      </c>
      <c r="AD26" s="58">
        <v>0.36</v>
      </c>
      <c r="AE26" s="58">
        <v>0.33</v>
      </c>
      <c r="AF26" s="58">
        <v>0.45</v>
      </c>
      <c r="AG26" s="58">
        <v>0.41</v>
      </c>
      <c r="AH26" s="58">
        <v>0.34</v>
      </c>
      <c r="AI26" s="58">
        <v>0.32</v>
      </c>
      <c r="AJ26" s="58">
        <v>0.38</v>
      </c>
      <c r="AK26" s="58">
        <v>0.41</v>
      </c>
    </row>
    <row r="27" spans="1:37" ht="15.75" customHeight="1" x14ac:dyDescent="0.3">
      <c r="A27" s="18" t="str">
        <f>Districts_Setup!$B$26</f>
        <v>Navsari</v>
      </c>
      <c r="B27" s="58">
        <v>0.54</v>
      </c>
      <c r="C27" s="58">
        <v>0.43</v>
      </c>
      <c r="D27" s="58"/>
      <c r="E27" s="58">
        <v>0.57999999999999996</v>
      </c>
      <c r="F27" s="58">
        <v>0.5</v>
      </c>
      <c r="G27" s="58">
        <v>0.4</v>
      </c>
      <c r="H27" s="58"/>
      <c r="I27" s="58">
        <v>0.53</v>
      </c>
      <c r="J27" s="58">
        <v>0.49</v>
      </c>
      <c r="K27" s="58">
        <v>0.46</v>
      </c>
      <c r="L27" s="58">
        <v>0.5</v>
      </c>
      <c r="M27" s="58">
        <v>0.59</v>
      </c>
      <c r="N27" s="58">
        <v>0.36</v>
      </c>
      <c r="O27" s="58">
        <v>0.35</v>
      </c>
      <c r="P27" s="58">
        <v>0.54</v>
      </c>
      <c r="Q27" s="58">
        <v>0.46</v>
      </c>
      <c r="R27" s="58">
        <v>0.41</v>
      </c>
      <c r="S27" s="58">
        <v>0.42</v>
      </c>
      <c r="T27" s="58">
        <v>0.38</v>
      </c>
      <c r="U27" s="58">
        <v>0.54</v>
      </c>
      <c r="V27" s="58">
        <v>0.52</v>
      </c>
      <c r="W27" s="58">
        <v>0.48</v>
      </c>
      <c r="X27" s="58">
        <v>0.74</v>
      </c>
      <c r="Y27" s="58">
        <v>0.59</v>
      </c>
      <c r="Z27" s="58">
        <v>0.28999999999999998</v>
      </c>
      <c r="AA27" s="58">
        <v>0.32</v>
      </c>
      <c r="AB27" s="58">
        <v>0.55000000000000004</v>
      </c>
      <c r="AC27" s="58">
        <v>0.38</v>
      </c>
      <c r="AD27" s="58">
        <v>0.39</v>
      </c>
      <c r="AE27" s="58">
        <v>0.38</v>
      </c>
      <c r="AF27" s="58">
        <v>0.51</v>
      </c>
      <c r="AG27" s="58">
        <v>0.45</v>
      </c>
      <c r="AH27" s="58">
        <v>0.38</v>
      </c>
      <c r="AI27" s="58">
        <v>0.36</v>
      </c>
      <c r="AJ27" s="58">
        <v>0.53</v>
      </c>
      <c r="AK27" s="58">
        <v>0.44</v>
      </c>
    </row>
    <row r="28" spans="1:37" ht="15.75" customHeight="1" x14ac:dyDescent="0.3">
      <c r="A28" s="18" t="str">
        <f>Districts_Setup!$B$27</f>
        <v>Panchmahal</v>
      </c>
      <c r="B28" s="58">
        <v>0.57999999999999996</v>
      </c>
      <c r="C28" s="58">
        <v>0.69</v>
      </c>
      <c r="D28" s="58">
        <v>0.47</v>
      </c>
      <c r="E28" s="58">
        <v>0.56000000000000005</v>
      </c>
      <c r="F28" s="58">
        <v>0.52</v>
      </c>
      <c r="G28" s="58">
        <v>0.67</v>
      </c>
      <c r="H28" s="58">
        <v>0.49</v>
      </c>
      <c r="I28" s="58">
        <v>0.52</v>
      </c>
      <c r="J28" s="58">
        <v>0.5</v>
      </c>
      <c r="K28" s="58">
        <v>0.56000000000000005</v>
      </c>
      <c r="L28" s="58">
        <v>0.57999999999999996</v>
      </c>
      <c r="M28" s="58">
        <v>0.51</v>
      </c>
      <c r="N28" s="58">
        <v>0.41</v>
      </c>
      <c r="O28" s="58">
        <v>0.4</v>
      </c>
      <c r="P28" s="58">
        <v>0.62</v>
      </c>
      <c r="Q28" s="58">
        <v>0.42</v>
      </c>
      <c r="R28" s="58">
        <v>0.45</v>
      </c>
      <c r="S28" s="58">
        <v>0.49</v>
      </c>
      <c r="T28" s="58">
        <v>0.46</v>
      </c>
      <c r="U28" s="58">
        <v>0.45</v>
      </c>
      <c r="V28" s="58">
        <v>0.42</v>
      </c>
      <c r="W28" s="58">
        <v>0.37</v>
      </c>
      <c r="X28" s="58">
        <v>0.67</v>
      </c>
      <c r="Y28" s="58">
        <v>0.51</v>
      </c>
      <c r="Z28" s="58">
        <v>0.27</v>
      </c>
      <c r="AA28" s="58">
        <v>0.27</v>
      </c>
      <c r="AB28" s="58">
        <v>0.44</v>
      </c>
      <c r="AC28" s="58">
        <v>0.31</v>
      </c>
      <c r="AD28" s="58">
        <v>0.35</v>
      </c>
      <c r="AE28" s="58">
        <v>0.32</v>
      </c>
      <c r="AF28" s="58">
        <v>0.44</v>
      </c>
      <c r="AG28" s="58">
        <v>0.38</v>
      </c>
      <c r="AH28" s="58">
        <v>0.32</v>
      </c>
      <c r="AI28" s="58">
        <v>0.32</v>
      </c>
      <c r="AJ28" s="58">
        <v>0.43</v>
      </c>
      <c r="AK28" s="58">
        <v>0.38</v>
      </c>
    </row>
    <row r="29" spans="1:37" ht="15.75" customHeight="1" x14ac:dyDescent="0.3">
      <c r="A29" s="18" t="str">
        <f>Districts_Setup!$B$28</f>
        <v>Patan</v>
      </c>
      <c r="B29" s="58">
        <v>0.52</v>
      </c>
      <c r="C29" s="58">
        <v>0.52</v>
      </c>
      <c r="D29" s="58">
        <v>0.7</v>
      </c>
      <c r="E29" s="58">
        <v>0.55000000000000004</v>
      </c>
      <c r="F29" s="58">
        <v>0.48</v>
      </c>
      <c r="G29" s="58">
        <v>0.45</v>
      </c>
      <c r="H29" s="58">
        <v>0.68</v>
      </c>
      <c r="I29" s="58">
        <v>0.5</v>
      </c>
      <c r="J29" s="58">
        <v>0.46</v>
      </c>
      <c r="K29" s="58">
        <v>0.53</v>
      </c>
      <c r="L29" s="58">
        <v>0.49</v>
      </c>
      <c r="M29" s="58">
        <v>0.57999999999999996</v>
      </c>
      <c r="N29" s="58">
        <v>0.36</v>
      </c>
      <c r="O29" s="58">
        <v>0.42</v>
      </c>
      <c r="P29" s="58">
        <v>0.57999999999999996</v>
      </c>
      <c r="Q29" s="58">
        <v>0.42</v>
      </c>
      <c r="R29" s="58">
        <v>0.41</v>
      </c>
      <c r="S29" s="58">
        <v>0.48</v>
      </c>
      <c r="T29" s="58">
        <v>0.44</v>
      </c>
      <c r="U29" s="58">
        <v>0.5</v>
      </c>
      <c r="V29" s="58">
        <v>0.41</v>
      </c>
      <c r="W29" s="58">
        <v>0.48</v>
      </c>
      <c r="X29" s="58">
        <v>0.72</v>
      </c>
      <c r="Y29" s="58">
        <v>0.5</v>
      </c>
      <c r="Z29" s="58">
        <v>0.26</v>
      </c>
      <c r="AA29" s="58">
        <v>0.3</v>
      </c>
      <c r="AB29" s="58">
        <v>0.54</v>
      </c>
      <c r="AC29" s="58">
        <v>0.26</v>
      </c>
      <c r="AD29" s="58">
        <v>0.35</v>
      </c>
      <c r="AE29" s="58">
        <v>0.37</v>
      </c>
      <c r="AF29" s="58">
        <v>0.54</v>
      </c>
      <c r="AG29" s="58">
        <v>0.4</v>
      </c>
      <c r="AH29" s="58">
        <v>0.33</v>
      </c>
      <c r="AI29" s="58">
        <v>0.37</v>
      </c>
      <c r="AJ29" s="58">
        <v>0.5</v>
      </c>
      <c r="AK29" s="58">
        <v>0.39</v>
      </c>
    </row>
    <row r="30" spans="1:37" ht="15.75" customHeight="1" x14ac:dyDescent="0.3">
      <c r="A30" s="18" t="str">
        <f>Districts_Setup!$B$29</f>
        <v>Porbandar</v>
      </c>
      <c r="B30" s="58">
        <v>0.52</v>
      </c>
      <c r="C30" s="58"/>
      <c r="D30" s="58">
        <v>0.61</v>
      </c>
      <c r="E30" s="58">
        <v>0.49</v>
      </c>
      <c r="F30" s="58">
        <v>0.48</v>
      </c>
      <c r="G30" s="58"/>
      <c r="H30" s="58">
        <v>0.62</v>
      </c>
      <c r="I30" s="58">
        <v>0.46</v>
      </c>
      <c r="J30" s="58">
        <v>0.48</v>
      </c>
      <c r="K30" s="58"/>
      <c r="L30" s="58">
        <v>0.44</v>
      </c>
      <c r="M30" s="58">
        <v>0.57999999999999996</v>
      </c>
      <c r="N30" s="58">
        <v>0.35</v>
      </c>
      <c r="O30" s="58"/>
      <c r="P30" s="58">
        <v>0.47</v>
      </c>
      <c r="Q30" s="58">
        <v>0.42</v>
      </c>
      <c r="R30" s="58">
        <v>0.42</v>
      </c>
      <c r="S30" s="58"/>
      <c r="T30" s="58">
        <v>0.36</v>
      </c>
      <c r="U30" s="58">
        <v>0.49</v>
      </c>
      <c r="V30" s="58">
        <v>0.45</v>
      </c>
      <c r="W30" s="58">
        <v>0.51</v>
      </c>
      <c r="X30" s="58">
        <v>0.54</v>
      </c>
      <c r="Y30" s="58">
        <v>0.52</v>
      </c>
      <c r="Z30" s="58">
        <v>0.28999999999999998</v>
      </c>
      <c r="AA30" s="58">
        <v>0.28000000000000003</v>
      </c>
      <c r="AB30" s="58">
        <v>0.28000000000000003</v>
      </c>
      <c r="AC30" s="58">
        <v>0.31</v>
      </c>
      <c r="AD30" s="58">
        <v>0.36</v>
      </c>
      <c r="AE30" s="58">
        <v>0.35</v>
      </c>
      <c r="AF30" s="58">
        <v>0.46</v>
      </c>
      <c r="AG30" s="58">
        <v>0.4</v>
      </c>
      <c r="AH30" s="58">
        <v>0.35</v>
      </c>
      <c r="AI30" s="58">
        <v>0.35</v>
      </c>
      <c r="AJ30" s="58">
        <v>0.41</v>
      </c>
      <c r="AK30" s="58">
        <v>0.37</v>
      </c>
    </row>
    <row r="31" spans="1:37" ht="15.75" customHeight="1" x14ac:dyDescent="0.3">
      <c r="A31" s="18" t="str">
        <f>Districts_Setup!$B$30</f>
        <v>Rajkot</v>
      </c>
      <c r="B31" s="58">
        <v>0.53</v>
      </c>
      <c r="C31" s="58">
        <v>0.68</v>
      </c>
      <c r="D31" s="58">
        <v>0.41</v>
      </c>
      <c r="E31" s="58">
        <v>0.61</v>
      </c>
      <c r="F31" s="58">
        <v>0.49</v>
      </c>
      <c r="G31" s="58">
        <v>0.56000000000000005</v>
      </c>
      <c r="H31" s="58">
        <v>0.37</v>
      </c>
      <c r="I31" s="58">
        <v>0.54</v>
      </c>
      <c r="J31" s="58">
        <v>0.4</v>
      </c>
      <c r="K31" s="58">
        <v>0.63</v>
      </c>
      <c r="L31" s="58">
        <v>0.56999999999999995</v>
      </c>
      <c r="M31" s="58">
        <v>0.53</v>
      </c>
      <c r="N31" s="58">
        <v>0.33</v>
      </c>
      <c r="O31" s="58">
        <v>0.48</v>
      </c>
      <c r="P31" s="58">
        <v>0.57999999999999996</v>
      </c>
      <c r="Q31" s="58">
        <v>0.42</v>
      </c>
      <c r="R31" s="58">
        <v>0.38</v>
      </c>
      <c r="S31" s="58">
        <v>0.54</v>
      </c>
      <c r="T31" s="58">
        <v>0.5</v>
      </c>
      <c r="U31" s="58">
        <v>0.48</v>
      </c>
      <c r="V31" s="58">
        <v>0.46</v>
      </c>
      <c r="W31" s="58">
        <v>0.45</v>
      </c>
      <c r="X31" s="58">
        <v>0.72</v>
      </c>
      <c r="Y31" s="58">
        <v>0.64</v>
      </c>
      <c r="Z31" s="58">
        <v>0.28999999999999998</v>
      </c>
      <c r="AA31" s="58">
        <v>0.28000000000000003</v>
      </c>
      <c r="AB31" s="58">
        <v>0.5</v>
      </c>
      <c r="AC31" s="58">
        <v>0.4</v>
      </c>
      <c r="AD31" s="58">
        <v>0.37</v>
      </c>
      <c r="AE31" s="58">
        <v>0.36</v>
      </c>
      <c r="AF31" s="58">
        <v>0.47</v>
      </c>
      <c r="AG31" s="58">
        <v>0.45</v>
      </c>
      <c r="AH31" s="58">
        <v>0.36</v>
      </c>
      <c r="AI31" s="58">
        <v>0.35</v>
      </c>
      <c r="AJ31" s="58">
        <v>0.45</v>
      </c>
      <c r="AK31" s="58">
        <v>0.47</v>
      </c>
    </row>
    <row r="32" spans="1:37" ht="15.75" customHeight="1" x14ac:dyDescent="0.3">
      <c r="A32" s="18" t="str">
        <f>Districts_Setup!$B$31</f>
        <v>Sabarkantha</v>
      </c>
      <c r="B32" s="58">
        <v>0.63</v>
      </c>
      <c r="C32" s="58">
        <v>0.72</v>
      </c>
      <c r="D32" s="58">
        <v>0.4</v>
      </c>
      <c r="E32" s="58">
        <v>0.57999999999999996</v>
      </c>
      <c r="F32" s="58">
        <v>0.59</v>
      </c>
      <c r="G32" s="58">
        <v>0.68</v>
      </c>
      <c r="H32" s="58">
        <v>0.42</v>
      </c>
      <c r="I32" s="58">
        <v>0.53</v>
      </c>
      <c r="J32" s="58">
        <v>0.39</v>
      </c>
      <c r="K32" s="58">
        <v>0.56000000000000005</v>
      </c>
      <c r="L32" s="58">
        <v>0.44</v>
      </c>
      <c r="M32" s="58">
        <v>0.54</v>
      </c>
      <c r="N32" s="58">
        <v>0.31</v>
      </c>
      <c r="O32" s="58">
        <v>0.42</v>
      </c>
      <c r="P32" s="58">
        <v>0.47</v>
      </c>
      <c r="Q32" s="58">
        <v>0.43</v>
      </c>
      <c r="R32" s="58">
        <v>0.35</v>
      </c>
      <c r="S32" s="58">
        <v>0.48</v>
      </c>
      <c r="T32" s="58">
        <v>0.37</v>
      </c>
      <c r="U32" s="58">
        <v>0.49</v>
      </c>
      <c r="V32" s="58">
        <v>0.41</v>
      </c>
      <c r="W32" s="58">
        <v>0.44</v>
      </c>
      <c r="X32" s="58">
        <v>0.56000000000000005</v>
      </c>
      <c r="Y32" s="58">
        <v>0.57999999999999996</v>
      </c>
      <c r="Z32" s="58">
        <v>0.26</v>
      </c>
      <c r="AA32" s="58">
        <v>0.28999999999999998</v>
      </c>
      <c r="AB32" s="58">
        <v>0.48</v>
      </c>
      <c r="AC32" s="58">
        <v>0.37</v>
      </c>
      <c r="AD32" s="58">
        <v>0.31</v>
      </c>
      <c r="AE32" s="58">
        <v>0.45</v>
      </c>
      <c r="AF32" s="58">
        <v>0.46</v>
      </c>
      <c r="AG32" s="58">
        <v>0.42</v>
      </c>
      <c r="AH32" s="58">
        <v>0.31</v>
      </c>
      <c r="AI32" s="58">
        <v>0.35</v>
      </c>
      <c r="AJ32" s="58">
        <v>0.43</v>
      </c>
      <c r="AK32" s="58">
        <v>0.42</v>
      </c>
    </row>
    <row r="33" spans="1:37" ht="15.75" customHeight="1" x14ac:dyDescent="0.3">
      <c r="A33" s="18" t="str">
        <f>Districts_Setup!$B$32</f>
        <v>Surat</v>
      </c>
      <c r="B33" s="58">
        <v>0.52</v>
      </c>
      <c r="C33" s="58">
        <v>0.6</v>
      </c>
      <c r="D33" s="58">
        <v>0.62</v>
      </c>
      <c r="E33" s="58">
        <v>0.53</v>
      </c>
      <c r="F33" s="58">
        <v>0.47</v>
      </c>
      <c r="G33" s="58">
        <v>0.52</v>
      </c>
      <c r="H33" s="58">
        <v>0.59</v>
      </c>
      <c r="I33" s="58">
        <v>0.48</v>
      </c>
      <c r="J33" s="58">
        <v>0.44</v>
      </c>
      <c r="K33" s="58">
        <v>0.54</v>
      </c>
      <c r="L33" s="58">
        <v>0.7</v>
      </c>
      <c r="M33" s="58">
        <v>0.62</v>
      </c>
      <c r="N33" s="58">
        <v>0.32</v>
      </c>
      <c r="O33" s="58">
        <v>0.41</v>
      </c>
      <c r="P33" s="58">
        <v>0.67</v>
      </c>
      <c r="Q33" s="58">
        <v>0.49</v>
      </c>
      <c r="R33" s="58">
        <v>0.37</v>
      </c>
      <c r="S33" s="58">
        <v>0.47</v>
      </c>
      <c r="T33" s="58">
        <v>0.57999999999999996</v>
      </c>
      <c r="U33" s="58">
        <v>0.52</v>
      </c>
      <c r="V33" s="58">
        <v>0.47</v>
      </c>
      <c r="W33" s="58">
        <v>0.54</v>
      </c>
      <c r="X33" s="58">
        <v>0.73</v>
      </c>
      <c r="Y33" s="58">
        <v>0.62</v>
      </c>
      <c r="Z33" s="58">
        <v>0.28999999999999998</v>
      </c>
      <c r="AA33" s="58">
        <v>0.32</v>
      </c>
      <c r="AB33" s="58">
        <v>0.52</v>
      </c>
      <c r="AC33" s="58">
        <v>0.38</v>
      </c>
      <c r="AD33" s="58">
        <v>0.35</v>
      </c>
      <c r="AE33" s="58">
        <v>0.39</v>
      </c>
      <c r="AF33" s="58">
        <v>0.56999999999999995</v>
      </c>
      <c r="AG33" s="58">
        <v>0.44</v>
      </c>
      <c r="AH33" s="58">
        <v>0.36</v>
      </c>
      <c r="AI33" s="58">
        <v>0.4</v>
      </c>
      <c r="AJ33" s="58">
        <v>0.52</v>
      </c>
      <c r="AK33" s="58">
        <v>0.45</v>
      </c>
    </row>
    <row r="34" spans="1:37" ht="15.75" customHeight="1" x14ac:dyDescent="0.3">
      <c r="A34" s="18" t="str">
        <f>Districts_Setup!$B$33</f>
        <v>Surendranagar</v>
      </c>
      <c r="B34" s="58">
        <v>0.57999999999999996</v>
      </c>
      <c r="C34" s="58">
        <v>0.66</v>
      </c>
      <c r="D34" s="58">
        <v>0.46</v>
      </c>
      <c r="E34" s="58">
        <v>0.66</v>
      </c>
      <c r="F34" s="58">
        <v>0.53</v>
      </c>
      <c r="G34" s="58">
        <v>0.56999999999999995</v>
      </c>
      <c r="H34" s="58">
        <v>0.42</v>
      </c>
      <c r="I34" s="58">
        <v>0.57999999999999996</v>
      </c>
      <c r="J34" s="58">
        <v>0.47</v>
      </c>
      <c r="K34" s="58">
        <v>0.5</v>
      </c>
      <c r="L34" s="58">
        <v>0.6</v>
      </c>
      <c r="M34" s="58">
        <v>0.68</v>
      </c>
      <c r="N34" s="58">
        <v>0.37</v>
      </c>
      <c r="O34" s="58">
        <v>0.35</v>
      </c>
      <c r="P34" s="58">
        <v>0.67</v>
      </c>
      <c r="Q34" s="58">
        <v>0.52</v>
      </c>
      <c r="R34" s="58">
        <v>0.43</v>
      </c>
      <c r="S34" s="58">
        <v>0.45</v>
      </c>
      <c r="T34" s="58">
        <v>0.48</v>
      </c>
      <c r="U34" s="58">
        <v>0.57999999999999996</v>
      </c>
      <c r="V34" s="58">
        <v>0.41</v>
      </c>
      <c r="W34" s="58">
        <v>0.43</v>
      </c>
      <c r="X34" s="58">
        <v>0.66</v>
      </c>
      <c r="Y34" s="58">
        <v>0.52</v>
      </c>
      <c r="Z34" s="58">
        <v>0.28999999999999998</v>
      </c>
      <c r="AA34" s="58">
        <v>0.27</v>
      </c>
      <c r="AB34" s="58">
        <v>0.46</v>
      </c>
      <c r="AC34" s="58">
        <v>0.34</v>
      </c>
      <c r="AD34" s="58">
        <v>0.33</v>
      </c>
      <c r="AE34" s="58">
        <v>0.34</v>
      </c>
      <c r="AF34" s="58">
        <v>0.47</v>
      </c>
      <c r="AG34" s="58">
        <v>0.38</v>
      </c>
      <c r="AH34" s="58">
        <v>0.33</v>
      </c>
      <c r="AI34" s="58">
        <v>0.34</v>
      </c>
      <c r="AJ34" s="58">
        <v>0.4</v>
      </c>
      <c r="AK34" s="58">
        <v>0.39</v>
      </c>
    </row>
    <row r="35" spans="1:37" ht="15.75" customHeight="1" x14ac:dyDescent="0.3">
      <c r="A35" s="18" t="str">
        <f>Districts_Setup!$B$34</f>
        <v>Tapi</v>
      </c>
      <c r="B35" s="58">
        <v>0.64</v>
      </c>
      <c r="C35" s="58"/>
      <c r="D35" s="58">
        <v>0.54</v>
      </c>
      <c r="E35" s="58">
        <v>0.59</v>
      </c>
      <c r="F35" s="58">
        <v>0.59</v>
      </c>
      <c r="G35" s="58"/>
      <c r="H35" s="58">
        <v>0.43</v>
      </c>
      <c r="I35" s="58">
        <v>0.56999999999999995</v>
      </c>
      <c r="J35" s="58">
        <v>0.49</v>
      </c>
      <c r="K35" s="58">
        <v>0.5</v>
      </c>
      <c r="L35" s="58">
        <v>0.66</v>
      </c>
      <c r="M35" s="58">
        <v>0.57999999999999996</v>
      </c>
      <c r="N35" s="58">
        <v>0.39</v>
      </c>
      <c r="O35" s="58">
        <v>0.42</v>
      </c>
      <c r="P35" s="58">
        <v>0.66</v>
      </c>
      <c r="Q35" s="58">
        <v>0.44</v>
      </c>
      <c r="R35" s="58">
        <v>0.47</v>
      </c>
      <c r="S35" s="58">
        <v>0.49</v>
      </c>
      <c r="T35" s="58">
        <v>0.54</v>
      </c>
      <c r="U35" s="58">
        <v>0.52</v>
      </c>
      <c r="V35" s="58">
        <v>0.51</v>
      </c>
      <c r="W35" s="58">
        <v>0.44</v>
      </c>
      <c r="X35" s="58">
        <v>0.67</v>
      </c>
      <c r="Y35" s="58">
        <v>0.6</v>
      </c>
      <c r="Z35" s="58">
        <v>0.28999999999999998</v>
      </c>
      <c r="AA35" s="58">
        <v>0.28999999999999998</v>
      </c>
      <c r="AB35" s="58">
        <v>0.45</v>
      </c>
      <c r="AC35" s="58">
        <v>0.33</v>
      </c>
      <c r="AD35" s="58">
        <v>0.37</v>
      </c>
      <c r="AE35" s="58">
        <v>0.35</v>
      </c>
      <c r="AF35" s="58">
        <v>0.49</v>
      </c>
      <c r="AG35" s="58">
        <v>0.43</v>
      </c>
      <c r="AH35" s="58">
        <v>0.37</v>
      </c>
      <c r="AI35" s="58">
        <v>0.34</v>
      </c>
      <c r="AJ35" s="58">
        <v>0.44</v>
      </c>
      <c r="AK35" s="58">
        <v>0.43</v>
      </c>
    </row>
    <row r="36" spans="1:37" ht="15.75" customHeight="1" x14ac:dyDescent="0.3">
      <c r="A36" s="18" t="str">
        <f>Districts_Setup!$B$35</f>
        <v>Vadodara</v>
      </c>
      <c r="B36" s="58">
        <v>0.45</v>
      </c>
      <c r="C36" s="58">
        <v>0.59</v>
      </c>
      <c r="D36" s="58">
        <v>0.62</v>
      </c>
      <c r="E36" s="58">
        <v>0.53</v>
      </c>
      <c r="F36" s="58">
        <v>0.42</v>
      </c>
      <c r="G36" s="58">
        <v>0.55000000000000004</v>
      </c>
      <c r="H36" s="58">
        <v>0.56999999999999995</v>
      </c>
      <c r="I36" s="58">
        <v>0.45</v>
      </c>
      <c r="J36" s="58">
        <v>0.4</v>
      </c>
      <c r="K36" s="58">
        <v>0.52</v>
      </c>
      <c r="L36" s="58">
        <v>0.66</v>
      </c>
      <c r="M36" s="58">
        <v>0.61</v>
      </c>
      <c r="N36" s="58">
        <v>0.28000000000000003</v>
      </c>
      <c r="O36" s="58">
        <v>0.41</v>
      </c>
      <c r="P36" s="58">
        <v>0.55000000000000004</v>
      </c>
      <c r="Q36" s="58">
        <v>0.48</v>
      </c>
      <c r="R36" s="58">
        <v>0.34</v>
      </c>
      <c r="S36" s="58">
        <v>0.46</v>
      </c>
      <c r="T36" s="58">
        <v>0.56000000000000005</v>
      </c>
      <c r="U36" s="58">
        <v>0.53</v>
      </c>
      <c r="V36" s="58">
        <v>0.47</v>
      </c>
      <c r="W36" s="58">
        <v>0.48</v>
      </c>
      <c r="X36" s="58">
        <v>0.72</v>
      </c>
      <c r="Y36" s="58">
        <v>0.65</v>
      </c>
      <c r="Z36" s="58">
        <v>0.27</v>
      </c>
      <c r="AA36" s="58">
        <v>0.3</v>
      </c>
      <c r="AB36" s="58">
        <v>0.44</v>
      </c>
      <c r="AC36" s="58">
        <v>0.43</v>
      </c>
      <c r="AD36" s="58">
        <v>0.36</v>
      </c>
      <c r="AE36" s="58">
        <v>0.37</v>
      </c>
      <c r="AF36" s="58">
        <v>0.54</v>
      </c>
      <c r="AG36" s="58">
        <v>0.49</v>
      </c>
      <c r="AH36" s="58">
        <v>0.35</v>
      </c>
      <c r="AI36" s="58">
        <v>0.37</v>
      </c>
      <c r="AJ36" s="58">
        <v>0.54</v>
      </c>
      <c r="AK36" s="58">
        <v>0.47</v>
      </c>
    </row>
    <row r="37" spans="1:37" ht="15.75" customHeight="1" x14ac:dyDescent="0.3">
      <c r="A37" s="18" t="str">
        <f>Districts_Setup!$B$36</f>
        <v>Valsad</v>
      </c>
      <c r="B37" s="58">
        <v>0.56000000000000005</v>
      </c>
      <c r="C37" s="58">
        <v>0.7</v>
      </c>
      <c r="D37" s="58">
        <v>0.47</v>
      </c>
      <c r="E37" s="58">
        <v>0.6</v>
      </c>
      <c r="F37" s="58">
        <v>0.49</v>
      </c>
      <c r="G37" s="58">
        <v>0.6</v>
      </c>
      <c r="H37" s="58">
        <v>0.46</v>
      </c>
      <c r="I37" s="58">
        <v>0.55000000000000004</v>
      </c>
      <c r="J37" s="58">
        <v>0.45</v>
      </c>
      <c r="K37" s="58">
        <v>0.51</v>
      </c>
      <c r="L37" s="58">
        <v>0.68</v>
      </c>
      <c r="M37" s="58">
        <v>0.56000000000000005</v>
      </c>
      <c r="N37" s="58">
        <v>0.35</v>
      </c>
      <c r="O37" s="58">
        <v>0.36</v>
      </c>
      <c r="P37" s="58">
        <v>0.55000000000000004</v>
      </c>
      <c r="Q37" s="58">
        <v>0.47</v>
      </c>
      <c r="R37" s="58">
        <v>0.41</v>
      </c>
      <c r="S37" s="58">
        <v>0.43</v>
      </c>
      <c r="T37" s="58">
        <v>0.53</v>
      </c>
      <c r="U37" s="58">
        <v>0.48</v>
      </c>
      <c r="V37" s="58">
        <v>0.44</v>
      </c>
      <c r="W37" s="58">
        <v>0.44</v>
      </c>
      <c r="X37" s="58">
        <v>0.66</v>
      </c>
      <c r="Y37" s="58">
        <v>0.61</v>
      </c>
      <c r="Z37" s="58">
        <v>0.25</v>
      </c>
      <c r="AA37" s="58">
        <v>0.3</v>
      </c>
      <c r="AB37" s="58">
        <v>0.42</v>
      </c>
      <c r="AC37" s="58">
        <v>0.38</v>
      </c>
      <c r="AD37" s="58">
        <v>0.32</v>
      </c>
      <c r="AE37" s="58">
        <v>0.35</v>
      </c>
      <c r="AF37" s="58">
        <v>0.56999999999999995</v>
      </c>
      <c r="AG37" s="58">
        <v>0.45</v>
      </c>
      <c r="AH37" s="58">
        <v>0.34</v>
      </c>
      <c r="AI37" s="58">
        <v>0.35</v>
      </c>
      <c r="AJ37" s="58">
        <v>0.49</v>
      </c>
      <c r="AK37" s="58">
        <v>0.44</v>
      </c>
    </row>
  </sheetData>
  <mergeCells count="12">
    <mergeCell ref="A1:AK1"/>
    <mergeCell ref="A2:AK2"/>
    <mergeCell ref="A3:A4"/>
    <mergeCell ref="B3:E3"/>
    <mergeCell ref="F3:I3"/>
    <mergeCell ref="J3:M3"/>
    <mergeCell ref="N3:Q3"/>
    <mergeCell ref="R3:U3"/>
    <mergeCell ref="V3:Y3"/>
    <mergeCell ref="Z3:AC3"/>
    <mergeCell ref="AD3:AG3"/>
    <mergeCell ref="AH3:AK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K37"/>
  <sheetViews>
    <sheetView showGridLines="0" zoomScaleNormal="100" workbookViewId="0">
      <pane xSplit="1" ySplit="4" topLeftCell="B5" activePane="bottomRight" state="frozen"/>
      <selection pane="topRight" activeCell="B1" sqref="B1"/>
      <selection pane="bottomLeft" activeCell="A5" sqref="A5"/>
      <selection pane="bottomRight" activeCell="AL37" sqref="AL37"/>
    </sheetView>
  </sheetViews>
  <sheetFormatPr defaultColWidth="8.6640625" defaultRowHeight="15.6" x14ac:dyDescent="0.3"/>
  <cols>
    <col min="1" max="1" width="19.77734375" style="11" bestFit="1" customWidth="1"/>
    <col min="2" max="37" width="13.6640625" style="11" customWidth="1"/>
    <col min="38" max="16384" width="8.6640625" style="11"/>
  </cols>
  <sheetData>
    <row r="1" spans="1:37" ht="25.5" customHeight="1" x14ac:dyDescent="0.3">
      <c r="A1" s="96" t="s">
        <v>790</v>
      </c>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row>
    <row r="2" spans="1:37" x14ac:dyDescent="0.3">
      <c r="A2" s="80" t="s">
        <v>640</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row>
    <row r="3" spans="1:37" ht="25.5" customHeight="1" x14ac:dyDescent="0.3">
      <c r="A3" s="94" t="s">
        <v>619</v>
      </c>
      <c r="B3" s="95" t="s">
        <v>620</v>
      </c>
      <c r="C3" s="95"/>
      <c r="D3" s="95"/>
      <c r="E3" s="95"/>
      <c r="F3" s="95" t="s">
        <v>621</v>
      </c>
      <c r="G3" s="95"/>
      <c r="H3" s="95"/>
      <c r="I3" s="95"/>
      <c r="J3" s="95" t="s">
        <v>622</v>
      </c>
      <c r="K3" s="95"/>
      <c r="L3" s="95"/>
      <c r="M3" s="95"/>
      <c r="N3" s="95" t="s">
        <v>623</v>
      </c>
      <c r="O3" s="95"/>
      <c r="P3" s="95"/>
      <c r="Q3" s="95"/>
      <c r="R3" s="95" t="s">
        <v>624</v>
      </c>
      <c r="S3" s="95"/>
      <c r="T3" s="95"/>
      <c r="U3" s="95"/>
      <c r="V3" s="95" t="s">
        <v>625</v>
      </c>
      <c r="W3" s="95"/>
      <c r="X3" s="95"/>
      <c r="Y3" s="95"/>
      <c r="Z3" s="95" t="s">
        <v>626</v>
      </c>
      <c r="AA3" s="95"/>
      <c r="AB3" s="95"/>
      <c r="AC3" s="95"/>
      <c r="AD3" s="95" t="s">
        <v>627</v>
      </c>
      <c r="AE3" s="95"/>
      <c r="AF3" s="95"/>
      <c r="AG3" s="95"/>
      <c r="AH3" s="95" t="s">
        <v>628</v>
      </c>
      <c r="AI3" s="95"/>
      <c r="AJ3" s="95"/>
      <c r="AK3" s="95"/>
    </row>
    <row r="4" spans="1:37" ht="44.4" customHeight="1" x14ac:dyDescent="0.3">
      <c r="A4" s="94"/>
      <c r="B4" s="36" t="s">
        <v>641</v>
      </c>
      <c r="C4" s="36" t="s">
        <v>642</v>
      </c>
      <c r="D4" s="36" t="s">
        <v>643</v>
      </c>
      <c r="E4" s="36" t="s">
        <v>644</v>
      </c>
      <c r="F4" s="36" t="s">
        <v>641</v>
      </c>
      <c r="G4" s="36" t="s">
        <v>642</v>
      </c>
      <c r="H4" s="36" t="s">
        <v>643</v>
      </c>
      <c r="I4" s="36" t="s">
        <v>644</v>
      </c>
      <c r="J4" s="36" t="s">
        <v>641</v>
      </c>
      <c r="K4" s="36" t="s">
        <v>642</v>
      </c>
      <c r="L4" s="36" t="s">
        <v>643</v>
      </c>
      <c r="M4" s="36" t="s">
        <v>644</v>
      </c>
      <c r="N4" s="36" t="s">
        <v>641</v>
      </c>
      <c r="O4" s="36" t="s">
        <v>642</v>
      </c>
      <c r="P4" s="36" t="s">
        <v>643</v>
      </c>
      <c r="Q4" s="36" t="s">
        <v>644</v>
      </c>
      <c r="R4" s="36" t="s">
        <v>641</v>
      </c>
      <c r="S4" s="36" t="s">
        <v>642</v>
      </c>
      <c r="T4" s="36" t="s">
        <v>643</v>
      </c>
      <c r="U4" s="36" t="s">
        <v>644</v>
      </c>
      <c r="V4" s="36" t="s">
        <v>641</v>
      </c>
      <c r="W4" s="36" t="s">
        <v>642</v>
      </c>
      <c r="X4" s="36" t="s">
        <v>643</v>
      </c>
      <c r="Y4" s="36" t="s">
        <v>644</v>
      </c>
      <c r="Z4" s="36" t="s">
        <v>641</v>
      </c>
      <c r="AA4" s="36" t="s">
        <v>642</v>
      </c>
      <c r="AB4" s="36" t="s">
        <v>643</v>
      </c>
      <c r="AC4" s="36" t="s">
        <v>644</v>
      </c>
      <c r="AD4" s="36" t="s">
        <v>641</v>
      </c>
      <c r="AE4" s="36" t="s">
        <v>642</v>
      </c>
      <c r="AF4" s="36" t="s">
        <v>643</v>
      </c>
      <c r="AG4" s="36" t="s">
        <v>644</v>
      </c>
      <c r="AH4" s="36" t="s">
        <v>641</v>
      </c>
      <c r="AI4" s="36" t="s">
        <v>642</v>
      </c>
      <c r="AJ4" s="36" t="s">
        <v>643</v>
      </c>
      <c r="AK4" s="36" t="s">
        <v>644</v>
      </c>
    </row>
    <row r="5" spans="1:37" ht="15.75" customHeight="1" x14ac:dyDescent="0.3">
      <c r="A5" s="18" t="str">
        <f>Districts_Setup!$B$4</f>
        <v>Ahmedabad</v>
      </c>
      <c r="B5" s="58">
        <v>0.6</v>
      </c>
      <c r="C5" s="58">
        <v>0.5</v>
      </c>
      <c r="D5" s="58">
        <v>0.59</v>
      </c>
      <c r="E5" s="58">
        <v>0.6</v>
      </c>
      <c r="F5" s="58">
        <v>0.54</v>
      </c>
      <c r="G5" s="58">
        <v>0.48</v>
      </c>
      <c r="H5" s="58">
        <v>0.55000000000000004</v>
      </c>
      <c r="I5" s="58">
        <v>0.53</v>
      </c>
      <c r="J5" s="58">
        <v>0.5</v>
      </c>
      <c r="K5" s="58">
        <v>0.52</v>
      </c>
      <c r="L5" s="58">
        <v>0.53</v>
      </c>
      <c r="M5" s="58">
        <v>0.49</v>
      </c>
      <c r="N5" s="58">
        <v>0.39</v>
      </c>
      <c r="O5" s="58">
        <v>0.36</v>
      </c>
      <c r="P5" s="58">
        <v>0.41</v>
      </c>
      <c r="Q5" s="58">
        <v>0.4</v>
      </c>
      <c r="R5" s="58">
        <v>0.45</v>
      </c>
      <c r="S5" s="58">
        <v>0.44</v>
      </c>
      <c r="T5" s="58">
        <v>0.46</v>
      </c>
      <c r="U5" s="58">
        <v>0.45</v>
      </c>
      <c r="V5" s="58">
        <v>0.48</v>
      </c>
      <c r="W5" s="58">
        <v>0.45</v>
      </c>
      <c r="X5" s="58">
        <v>0.44</v>
      </c>
      <c r="Y5" s="58">
        <v>0.54</v>
      </c>
      <c r="Z5" s="58">
        <v>0.32</v>
      </c>
      <c r="AA5" s="58">
        <v>0.28999999999999998</v>
      </c>
      <c r="AB5" s="58">
        <v>0.3</v>
      </c>
      <c r="AC5" s="58">
        <v>0.38</v>
      </c>
      <c r="AD5" s="58">
        <v>0.36</v>
      </c>
      <c r="AE5" s="58">
        <v>0.38</v>
      </c>
      <c r="AF5" s="58">
        <v>0.36</v>
      </c>
      <c r="AG5" s="58">
        <v>0.44</v>
      </c>
      <c r="AH5" s="58">
        <v>0.37</v>
      </c>
      <c r="AI5" s="58">
        <v>0.33</v>
      </c>
      <c r="AJ5" s="58">
        <v>0.34</v>
      </c>
      <c r="AK5" s="58">
        <v>0.42</v>
      </c>
    </row>
    <row r="6" spans="1:37" ht="15.75" customHeight="1" x14ac:dyDescent="0.3">
      <c r="A6" s="18" t="str">
        <f>Districts_Setup!$B$5</f>
        <v>Amreli</v>
      </c>
      <c r="B6" s="58">
        <v>0.56999999999999995</v>
      </c>
      <c r="C6" s="58">
        <v>0.55000000000000004</v>
      </c>
      <c r="D6" s="58">
        <v>0.53</v>
      </c>
      <c r="E6" s="58">
        <v>0.6</v>
      </c>
      <c r="F6" s="58">
        <v>0.55000000000000004</v>
      </c>
      <c r="G6" s="58">
        <v>0.51</v>
      </c>
      <c r="H6" s="58">
        <v>0.48</v>
      </c>
      <c r="I6" s="58">
        <v>0.55000000000000004</v>
      </c>
      <c r="J6" s="58">
        <v>0.6</v>
      </c>
      <c r="K6" s="58">
        <v>0.44</v>
      </c>
      <c r="L6" s="58">
        <v>0.45</v>
      </c>
      <c r="M6" s="58">
        <v>0.56000000000000005</v>
      </c>
      <c r="N6" s="58">
        <v>0.36</v>
      </c>
      <c r="O6" s="58">
        <v>0.37</v>
      </c>
      <c r="P6" s="58">
        <v>0.33</v>
      </c>
      <c r="Q6" s="58">
        <v>0.44</v>
      </c>
      <c r="R6" s="58">
        <v>0.47</v>
      </c>
      <c r="S6" s="58">
        <v>0.36</v>
      </c>
      <c r="T6" s="58">
        <v>0.39</v>
      </c>
      <c r="U6" s="58">
        <v>0.52</v>
      </c>
      <c r="V6" s="58">
        <v>0.51</v>
      </c>
      <c r="W6" s="58">
        <v>0.52</v>
      </c>
      <c r="X6" s="58">
        <v>0.48</v>
      </c>
      <c r="Y6" s="58">
        <v>0.56999999999999995</v>
      </c>
      <c r="Z6" s="58">
        <v>0.26</v>
      </c>
      <c r="AA6" s="58">
        <v>0.23</v>
      </c>
      <c r="AB6" s="58">
        <v>0.28999999999999998</v>
      </c>
      <c r="AC6" s="58">
        <v>0.34</v>
      </c>
      <c r="AD6" s="58">
        <v>0.39</v>
      </c>
      <c r="AE6" s="58">
        <v>0.38</v>
      </c>
      <c r="AF6" s="58">
        <v>0.37</v>
      </c>
      <c r="AG6" s="58">
        <v>0.4</v>
      </c>
      <c r="AH6" s="58">
        <v>0.36</v>
      </c>
      <c r="AI6" s="58">
        <v>0.35</v>
      </c>
      <c r="AJ6" s="58">
        <v>0.37</v>
      </c>
      <c r="AK6" s="58">
        <v>0.42</v>
      </c>
    </row>
    <row r="7" spans="1:37" ht="15.75" customHeight="1" x14ac:dyDescent="0.3">
      <c r="A7" s="18" t="str">
        <f>Districts_Setup!$B$6</f>
        <v>Anand</v>
      </c>
      <c r="B7" s="58">
        <v>0.6</v>
      </c>
      <c r="C7" s="58">
        <v>0.68</v>
      </c>
      <c r="D7" s="58">
        <v>0.57999999999999996</v>
      </c>
      <c r="E7" s="58">
        <v>0.59</v>
      </c>
      <c r="F7" s="58">
        <v>0.5</v>
      </c>
      <c r="G7" s="58">
        <v>0.5</v>
      </c>
      <c r="H7" s="58">
        <v>0.52</v>
      </c>
      <c r="I7" s="58">
        <v>0.51</v>
      </c>
      <c r="J7" s="58">
        <v>0.54</v>
      </c>
      <c r="K7" s="58">
        <v>0.56000000000000005</v>
      </c>
      <c r="L7" s="58">
        <v>0.5</v>
      </c>
      <c r="M7" s="58">
        <v>0.57999999999999996</v>
      </c>
      <c r="N7" s="58">
        <v>0.43</v>
      </c>
      <c r="O7" s="58">
        <v>0.41</v>
      </c>
      <c r="P7" s="58">
        <v>0.39</v>
      </c>
      <c r="Q7" s="58">
        <v>0.44</v>
      </c>
      <c r="R7" s="58">
        <v>0.46</v>
      </c>
      <c r="S7" s="58">
        <v>0.48</v>
      </c>
      <c r="T7" s="58">
        <v>0.45</v>
      </c>
      <c r="U7" s="58">
        <v>0.49</v>
      </c>
      <c r="V7" s="58">
        <v>0.47</v>
      </c>
      <c r="W7" s="58">
        <v>0.41</v>
      </c>
      <c r="X7" s="58">
        <v>0.46</v>
      </c>
      <c r="Y7" s="58">
        <v>0.53</v>
      </c>
      <c r="Z7" s="58">
        <v>0.4</v>
      </c>
      <c r="AA7" s="58">
        <v>0.27</v>
      </c>
      <c r="AB7" s="58">
        <v>0.3</v>
      </c>
      <c r="AC7" s="58">
        <v>0.34</v>
      </c>
      <c r="AD7" s="58">
        <v>0.43</v>
      </c>
      <c r="AE7" s="58">
        <v>0.34</v>
      </c>
      <c r="AF7" s="58">
        <v>0.35</v>
      </c>
      <c r="AG7" s="58">
        <v>0.4</v>
      </c>
      <c r="AH7" s="58">
        <v>0.39</v>
      </c>
      <c r="AI7" s="58">
        <v>0.34</v>
      </c>
      <c r="AJ7" s="58">
        <v>0.34</v>
      </c>
      <c r="AK7" s="58">
        <v>0.39</v>
      </c>
    </row>
    <row r="8" spans="1:37" ht="15.75" customHeight="1" x14ac:dyDescent="0.3">
      <c r="A8" s="18" t="str">
        <f>Districts_Setup!$B$7</f>
        <v>Aravalli</v>
      </c>
      <c r="B8" s="58">
        <v>0.45</v>
      </c>
      <c r="C8" s="58">
        <v>0.57999999999999996</v>
      </c>
      <c r="D8" s="58">
        <v>0.51</v>
      </c>
      <c r="E8" s="58">
        <v>0.56000000000000005</v>
      </c>
      <c r="F8" s="58">
        <v>0.34</v>
      </c>
      <c r="G8" s="58">
        <v>0.52</v>
      </c>
      <c r="H8" s="58">
        <v>0.48</v>
      </c>
      <c r="I8" s="58">
        <v>0.53</v>
      </c>
      <c r="J8" s="58">
        <v>0.51</v>
      </c>
      <c r="K8" s="58">
        <v>0.45</v>
      </c>
      <c r="L8" s="58">
        <v>0.47</v>
      </c>
      <c r="M8" s="58">
        <v>0.57999999999999996</v>
      </c>
      <c r="N8" s="58">
        <v>0.35</v>
      </c>
      <c r="O8" s="58">
        <v>0.34</v>
      </c>
      <c r="P8" s="58">
        <v>0.36</v>
      </c>
      <c r="Q8" s="58">
        <v>0.46</v>
      </c>
      <c r="R8" s="58">
        <v>0.42</v>
      </c>
      <c r="S8" s="58">
        <v>0.41</v>
      </c>
      <c r="T8" s="58">
        <v>0.42</v>
      </c>
      <c r="U8" s="58">
        <v>0.49</v>
      </c>
      <c r="V8" s="58">
        <v>0.49</v>
      </c>
      <c r="W8" s="58">
        <v>0.43</v>
      </c>
      <c r="X8" s="58">
        <v>0.42</v>
      </c>
      <c r="Y8" s="58">
        <v>0.56999999999999995</v>
      </c>
      <c r="Z8" s="58">
        <v>0.32</v>
      </c>
      <c r="AA8" s="58">
        <v>0.28000000000000003</v>
      </c>
      <c r="AB8" s="58">
        <v>0.28999999999999998</v>
      </c>
      <c r="AC8" s="58">
        <v>0.38</v>
      </c>
      <c r="AD8" s="58">
        <v>0.4</v>
      </c>
      <c r="AE8" s="58">
        <v>0.35</v>
      </c>
      <c r="AF8" s="58">
        <v>0.35</v>
      </c>
      <c r="AG8" s="58">
        <v>0.4</v>
      </c>
      <c r="AH8" s="58">
        <v>0.38</v>
      </c>
      <c r="AI8" s="58">
        <v>0.33</v>
      </c>
      <c r="AJ8" s="58">
        <v>0.32</v>
      </c>
      <c r="AK8" s="58">
        <v>0.42</v>
      </c>
    </row>
    <row r="9" spans="1:37" ht="15.75" customHeight="1" x14ac:dyDescent="0.3">
      <c r="A9" s="18" t="str">
        <f>Districts_Setup!$B$8</f>
        <v>Banaskantha</v>
      </c>
      <c r="B9" s="58">
        <v>0.54</v>
      </c>
      <c r="C9" s="58">
        <v>0.35</v>
      </c>
      <c r="D9" s="58">
        <v>0.56000000000000005</v>
      </c>
      <c r="E9" s="58">
        <v>0.57999999999999996</v>
      </c>
      <c r="F9" s="58">
        <v>0.45</v>
      </c>
      <c r="G9" s="58">
        <v>0.34</v>
      </c>
      <c r="H9" s="58">
        <v>0.51</v>
      </c>
      <c r="I9" s="58">
        <v>0.52</v>
      </c>
      <c r="J9" s="58">
        <v>0.51</v>
      </c>
      <c r="K9" s="58">
        <v>0.43</v>
      </c>
      <c r="L9" s="58">
        <v>0.53</v>
      </c>
      <c r="M9" s="58">
        <v>0.59</v>
      </c>
      <c r="N9" s="58">
        <v>0.41</v>
      </c>
      <c r="O9" s="58">
        <v>0.32</v>
      </c>
      <c r="P9" s="58">
        <v>0.4</v>
      </c>
      <c r="Q9" s="58">
        <v>0.45</v>
      </c>
      <c r="R9" s="58">
        <v>0.46</v>
      </c>
      <c r="S9" s="58">
        <v>0.39</v>
      </c>
      <c r="T9" s="58">
        <v>0.46</v>
      </c>
      <c r="U9" s="58">
        <v>0.49</v>
      </c>
      <c r="V9" s="58">
        <v>0.56000000000000005</v>
      </c>
      <c r="W9" s="58">
        <v>0.42</v>
      </c>
      <c r="X9" s="58">
        <v>0.5</v>
      </c>
      <c r="Y9" s="58">
        <v>0.56999999999999995</v>
      </c>
      <c r="Z9" s="58">
        <v>0.31</v>
      </c>
      <c r="AA9" s="58">
        <v>0.27</v>
      </c>
      <c r="AB9" s="58">
        <v>0.31</v>
      </c>
      <c r="AC9" s="58">
        <v>0.39</v>
      </c>
      <c r="AD9" s="58">
        <v>0.36</v>
      </c>
      <c r="AE9" s="58">
        <v>0.33</v>
      </c>
      <c r="AF9" s="58">
        <v>0.37</v>
      </c>
      <c r="AG9" s="58">
        <v>0.41</v>
      </c>
      <c r="AH9" s="58">
        <v>0.39</v>
      </c>
      <c r="AI9" s="58">
        <v>0.32</v>
      </c>
      <c r="AJ9" s="58">
        <v>0.37</v>
      </c>
      <c r="AK9" s="58">
        <v>0.42</v>
      </c>
    </row>
    <row r="10" spans="1:37" ht="15.75" customHeight="1" x14ac:dyDescent="0.3">
      <c r="A10" s="18" t="str">
        <f>Districts_Setup!$B$9</f>
        <v>Bharuch</v>
      </c>
      <c r="B10" s="58">
        <v>0.63</v>
      </c>
      <c r="C10" s="58">
        <v>0.54</v>
      </c>
      <c r="D10" s="58">
        <v>0.57999999999999996</v>
      </c>
      <c r="E10" s="58">
        <v>0.61</v>
      </c>
      <c r="F10" s="58">
        <v>0.48</v>
      </c>
      <c r="G10" s="58">
        <v>0.47</v>
      </c>
      <c r="H10" s="58">
        <v>0.53</v>
      </c>
      <c r="I10" s="58">
        <v>0.56999999999999995</v>
      </c>
      <c r="J10" s="58">
        <v>0.57999999999999996</v>
      </c>
      <c r="K10" s="58">
        <v>0.39</v>
      </c>
      <c r="L10" s="58">
        <v>0.5</v>
      </c>
      <c r="M10" s="58">
        <v>0.47</v>
      </c>
      <c r="N10" s="58">
        <v>0.44</v>
      </c>
      <c r="O10" s="58">
        <v>0.32</v>
      </c>
      <c r="P10" s="58">
        <v>0.4</v>
      </c>
      <c r="Q10" s="58">
        <v>0.4</v>
      </c>
      <c r="R10" s="58">
        <v>0.53</v>
      </c>
      <c r="S10" s="58">
        <v>0.38</v>
      </c>
      <c r="T10" s="58">
        <v>0.44</v>
      </c>
      <c r="U10" s="58">
        <v>0.44</v>
      </c>
      <c r="V10" s="58">
        <v>0.5</v>
      </c>
      <c r="W10" s="58">
        <v>0.47</v>
      </c>
      <c r="X10" s="58">
        <v>0.54</v>
      </c>
      <c r="Y10" s="58">
        <v>0.56000000000000005</v>
      </c>
      <c r="Z10" s="58">
        <v>0.33</v>
      </c>
      <c r="AA10" s="58">
        <v>0.28000000000000003</v>
      </c>
      <c r="AB10" s="58">
        <v>0.35</v>
      </c>
      <c r="AC10" s="58">
        <v>0.36</v>
      </c>
      <c r="AD10" s="58">
        <v>0.4</v>
      </c>
      <c r="AE10" s="58">
        <v>0.36</v>
      </c>
      <c r="AF10" s="58">
        <v>0.41</v>
      </c>
      <c r="AG10" s="58">
        <v>0.4</v>
      </c>
      <c r="AH10" s="58">
        <v>0.37</v>
      </c>
      <c r="AI10" s="58">
        <v>0.34</v>
      </c>
      <c r="AJ10" s="58">
        <v>0.38</v>
      </c>
      <c r="AK10" s="58">
        <v>0.41</v>
      </c>
    </row>
    <row r="11" spans="1:37" ht="15.75" customHeight="1" x14ac:dyDescent="0.3">
      <c r="A11" s="18" t="str">
        <f>Districts_Setup!$B$10</f>
        <v>Bhavnagar</v>
      </c>
      <c r="B11" s="58">
        <v>0.61</v>
      </c>
      <c r="C11" s="58">
        <v>0.5</v>
      </c>
      <c r="D11" s="58">
        <v>0.62</v>
      </c>
      <c r="E11" s="58">
        <v>0.73</v>
      </c>
      <c r="F11" s="58">
        <v>0.54</v>
      </c>
      <c r="G11" s="58">
        <v>0.39</v>
      </c>
      <c r="H11" s="58">
        <v>0.56999999999999995</v>
      </c>
      <c r="I11" s="58">
        <v>0.64</v>
      </c>
      <c r="J11" s="58">
        <v>0.52</v>
      </c>
      <c r="K11" s="58">
        <v>0.38</v>
      </c>
      <c r="L11" s="58">
        <v>0.51</v>
      </c>
      <c r="M11" s="58">
        <v>0.56999999999999995</v>
      </c>
      <c r="N11" s="58">
        <v>0.4</v>
      </c>
      <c r="O11" s="58">
        <v>0.24</v>
      </c>
      <c r="P11" s="58">
        <v>0.37</v>
      </c>
      <c r="Q11" s="58">
        <v>0.46</v>
      </c>
      <c r="R11" s="58">
        <v>0.44</v>
      </c>
      <c r="S11" s="58">
        <v>0.35</v>
      </c>
      <c r="T11" s="58">
        <v>0.44</v>
      </c>
      <c r="U11" s="58">
        <v>0.51</v>
      </c>
      <c r="V11" s="58">
        <v>0.59</v>
      </c>
      <c r="W11" s="58">
        <v>0.48</v>
      </c>
      <c r="X11" s="58">
        <v>0.51</v>
      </c>
      <c r="Y11" s="58">
        <v>0.61</v>
      </c>
      <c r="Z11" s="58">
        <v>0.36</v>
      </c>
      <c r="AA11" s="58">
        <v>0.28999999999999998</v>
      </c>
      <c r="AB11" s="58">
        <v>0.31</v>
      </c>
      <c r="AC11" s="58">
        <v>0.38</v>
      </c>
      <c r="AD11" s="58">
        <v>0.39</v>
      </c>
      <c r="AE11" s="58">
        <v>0.41</v>
      </c>
      <c r="AF11" s="58">
        <v>0.38</v>
      </c>
      <c r="AG11" s="58">
        <v>0.44</v>
      </c>
      <c r="AH11" s="58">
        <v>0.42</v>
      </c>
      <c r="AI11" s="58">
        <v>0.36</v>
      </c>
      <c r="AJ11" s="58">
        <v>0.39</v>
      </c>
      <c r="AK11" s="58">
        <v>0.44</v>
      </c>
    </row>
    <row r="12" spans="1:37" ht="15.75" customHeight="1" x14ac:dyDescent="0.3">
      <c r="A12" s="18" t="str">
        <f>Districts_Setup!$B$11</f>
        <v>Botad</v>
      </c>
      <c r="B12" s="58">
        <v>0.57999999999999996</v>
      </c>
      <c r="C12" s="58">
        <v>0.6</v>
      </c>
      <c r="D12" s="58">
        <v>0.59</v>
      </c>
      <c r="E12" s="58">
        <v>0.6</v>
      </c>
      <c r="F12" s="58">
        <v>0.51</v>
      </c>
      <c r="G12" s="58">
        <v>0.57999999999999996</v>
      </c>
      <c r="H12" s="58">
        <v>0.52</v>
      </c>
      <c r="I12" s="58">
        <v>0.55000000000000004</v>
      </c>
      <c r="J12" s="58">
        <v>0.53</v>
      </c>
      <c r="K12" s="58">
        <v>0.43</v>
      </c>
      <c r="L12" s="58">
        <v>0.49</v>
      </c>
      <c r="M12" s="58">
        <v>0.56999999999999995</v>
      </c>
      <c r="N12" s="58">
        <v>0.35</v>
      </c>
      <c r="O12" s="58">
        <v>0.31</v>
      </c>
      <c r="P12" s="58">
        <v>0.39</v>
      </c>
      <c r="Q12" s="58">
        <v>0.42</v>
      </c>
      <c r="R12" s="58">
        <v>0.45</v>
      </c>
      <c r="S12" s="58">
        <v>0.37</v>
      </c>
      <c r="T12" s="58">
        <v>0.43</v>
      </c>
      <c r="U12" s="58">
        <v>0.49</v>
      </c>
      <c r="V12" s="58">
        <v>0.5</v>
      </c>
      <c r="W12" s="58">
        <v>0.53</v>
      </c>
      <c r="X12" s="58">
        <v>0.47</v>
      </c>
      <c r="Y12" s="58">
        <v>0.53</v>
      </c>
      <c r="Z12" s="58">
        <v>0.31</v>
      </c>
      <c r="AA12" s="58">
        <v>0.28999999999999998</v>
      </c>
      <c r="AB12" s="58">
        <v>0.28999999999999998</v>
      </c>
      <c r="AC12" s="58">
        <v>0.34</v>
      </c>
      <c r="AD12" s="58">
        <v>0.38</v>
      </c>
      <c r="AE12" s="58">
        <v>0.3</v>
      </c>
      <c r="AF12" s="58">
        <v>0.37</v>
      </c>
      <c r="AG12" s="58">
        <v>0.45</v>
      </c>
      <c r="AH12" s="58">
        <v>0.37</v>
      </c>
      <c r="AI12" s="58">
        <v>0.32</v>
      </c>
      <c r="AJ12" s="58">
        <v>0.36</v>
      </c>
      <c r="AK12" s="58">
        <v>0.4</v>
      </c>
    </row>
    <row r="13" spans="1:37" ht="15.75" customHeight="1" x14ac:dyDescent="0.3">
      <c r="A13" s="18" t="str">
        <f>Districts_Setup!$B$12</f>
        <v>Chhota Udepur</v>
      </c>
      <c r="B13" s="58">
        <v>0.55000000000000004</v>
      </c>
      <c r="C13" s="58">
        <v>0.56000000000000005</v>
      </c>
      <c r="D13" s="58">
        <v>0.5</v>
      </c>
      <c r="E13" s="58">
        <v>0.41</v>
      </c>
      <c r="F13" s="58">
        <v>0.48</v>
      </c>
      <c r="G13" s="58">
        <v>0.52</v>
      </c>
      <c r="H13" s="58">
        <v>0.46</v>
      </c>
      <c r="I13" s="58">
        <v>0.35</v>
      </c>
      <c r="J13" s="58">
        <v>0.43</v>
      </c>
      <c r="K13" s="58">
        <v>0.46</v>
      </c>
      <c r="L13" s="58">
        <v>0.42</v>
      </c>
      <c r="M13" s="58">
        <v>0.53</v>
      </c>
      <c r="N13" s="58">
        <v>0.31</v>
      </c>
      <c r="O13" s="58">
        <v>0.34</v>
      </c>
      <c r="P13" s="58">
        <v>0.35</v>
      </c>
      <c r="Q13" s="58">
        <v>0.36</v>
      </c>
      <c r="R13" s="58">
        <v>0.42</v>
      </c>
      <c r="S13" s="58">
        <v>0.43</v>
      </c>
      <c r="T13" s="58">
        <v>0.39</v>
      </c>
      <c r="U13" s="58">
        <v>0.41</v>
      </c>
      <c r="V13" s="58">
        <v>0.44</v>
      </c>
      <c r="W13" s="58">
        <v>0.42</v>
      </c>
      <c r="X13" s="58">
        <v>0.45</v>
      </c>
      <c r="Y13" s="58">
        <v>0.47</v>
      </c>
      <c r="Z13" s="58">
        <v>0.3</v>
      </c>
      <c r="AA13" s="58">
        <v>0.28000000000000003</v>
      </c>
      <c r="AB13" s="58">
        <v>0.32</v>
      </c>
      <c r="AC13" s="58">
        <v>0.34</v>
      </c>
      <c r="AD13" s="58">
        <v>0.32</v>
      </c>
      <c r="AE13" s="58">
        <v>0.33</v>
      </c>
      <c r="AF13" s="58">
        <v>0.38</v>
      </c>
      <c r="AG13" s="58">
        <v>0.4</v>
      </c>
      <c r="AH13" s="58">
        <v>0.36</v>
      </c>
      <c r="AI13" s="58">
        <v>0.34</v>
      </c>
      <c r="AJ13" s="58">
        <v>0.35</v>
      </c>
      <c r="AK13" s="58">
        <v>0.36</v>
      </c>
    </row>
    <row r="14" spans="1:37" ht="15.75" customHeight="1" x14ac:dyDescent="0.3">
      <c r="A14" s="18" t="str">
        <f>Districts_Setup!$B$13</f>
        <v>Dahod</v>
      </c>
      <c r="B14" s="58">
        <v>0.59</v>
      </c>
      <c r="C14" s="58">
        <v>0.6</v>
      </c>
      <c r="D14" s="58">
        <v>0.59</v>
      </c>
      <c r="E14" s="58">
        <v>0.64</v>
      </c>
      <c r="F14" s="58">
        <v>0.51</v>
      </c>
      <c r="G14" s="58">
        <v>0.54</v>
      </c>
      <c r="H14" s="58">
        <v>0.53</v>
      </c>
      <c r="I14" s="58">
        <v>0.59</v>
      </c>
      <c r="J14" s="58">
        <v>0.47</v>
      </c>
      <c r="K14" s="58">
        <v>0.46</v>
      </c>
      <c r="L14" s="58">
        <v>0.49</v>
      </c>
      <c r="M14" s="58">
        <v>0.67</v>
      </c>
      <c r="N14" s="58">
        <v>0.41</v>
      </c>
      <c r="O14" s="58">
        <v>0.39</v>
      </c>
      <c r="P14" s="58">
        <v>0.42</v>
      </c>
      <c r="Q14" s="58">
        <v>0.57999999999999996</v>
      </c>
      <c r="R14" s="58">
        <v>0.39</v>
      </c>
      <c r="S14" s="58">
        <v>0.43</v>
      </c>
      <c r="T14" s="58">
        <v>0.46</v>
      </c>
      <c r="U14" s="58">
        <v>0.63</v>
      </c>
      <c r="V14" s="58">
        <v>0.37</v>
      </c>
      <c r="W14" s="58">
        <v>0.38</v>
      </c>
      <c r="X14" s="58">
        <v>0.45</v>
      </c>
      <c r="Y14" s="58">
        <v>0.54</v>
      </c>
      <c r="Z14" s="58">
        <v>0.31</v>
      </c>
      <c r="AA14" s="58">
        <v>0.27</v>
      </c>
      <c r="AB14" s="58">
        <v>0.32</v>
      </c>
      <c r="AC14" s="58">
        <v>0.42</v>
      </c>
      <c r="AD14" s="58">
        <v>0.3</v>
      </c>
      <c r="AE14" s="58">
        <v>0.3</v>
      </c>
      <c r="AF14" s="58">
        <v>0.33</v>
      </c>
      <c r="AG14" s="58">
        <v>0.42</v>
      </c>
      <c r="AH14" s="58">
        <v>0.31</v>
      </c>
      <c r="AI14" s="58">
        <v>0.31</v>
      </c>
      <c r="AJ14" s="58">
        <v>0.33</v>
      </c>
      <c r="AK14" s="58">
        <v>0.45</v>
      </c>
    </row>
    <row r="15" spans="1:37" ht="15.75" customHeight="1" x14ac:dyDescent="0.3">
      <c r="A15" s="18" t="str">
        <f>Districts_Setup!$B$14</f>
        <v>Dang</v>
      </c>
      <c r="B15" s="58">
        <v>0.55000000000000004</v>
      </c>
      <c r="C15" s="58">
        <v>0.61</v>
      </c>
      <c r="D15" s="58">
        <v>0.48</v>
      </c>
      <c r="E15" s="58">
        <v>0.39</v>
      </c>
      <c r="F15" s="58">
        <v>0.47</v>
      </c>
      <c r="G15" s="58">
        <v>0.56000000000000005</v>
      </c>
      <c r="H15" s="58">
        <v>0.38</v>
      </c>
      <c r="I15" s="58">
        <v>0.34</v>
      </c>
      <c r="J15" s="58">
        <v>0.25</v>
      </c>
      <c r="K15" s="58">
        <v>0.55000000000000004</v>
      </c>
      <c r="L15" s="58">
        <v>0.53</v>
      </c>
      <c r="M15" s="58">
        <v>0.42</v>
      </c>
      <c r="N15" s="58">
        <v>0.33</v>
      </c>
      <c r="O15" s="58">
        <v>0.38</v>
      </c>
      <c r="P15" s="58">
        <v>0.36</v>
      </c>
      <c r="Q15" s="58">
        <v>0.38</v>
      </c>
      <c r="R15" s="58">
        <v>0.38</v>
      </c>
      <c r="S15" s="58">
        <v>0.48</v>
      </c>
      <c r="T15" s="58">
        <v>0.51</v>
      </c>
      <c r="U15" s="58">
        <v>0.45</v>
      </c>
      <c r="V15" s="58">
        <v>0.42</v>
      </c>
      <c r="W15" s="58">
        <v>0.44</v>
      </c>
      <c r="X15" s="58">
        <v>0.47</v>
      </c>
      <c r="Y15" s="58">
        <v>0.46</v>
      </c>
      <c r="Z15" s="58">
        <v>0.28999999999999998</v>
      </c>
      <c r="AA15" s="58">
        <v>0.26</v>
      </c>
      <c r="AB15" s="58">
        <v>0.26</v>
      </c>
      <c r="AC15" s="58">
        <v>0.25</v>
      </c>
      <c r="AD15" s="58">
        <v>0.37</v>
      </c>
      <c r="AE15" s="58">
        <v>0.33</v>
      </c>
      <c r="AF15" s="58">
        <v>0.34</v>
      </c>
      <c r="AG15" s="58">
        <v>0.34</v>
      </c>
      <c r="AH15" s="58">
        <v>0.36</v>
      </c>
      <c r="AI15" s="58">
        <v>0.35</v>
      </c>
      <c r="AJ15" s="58">
        <v>0.35</v>
      </c>
      <c r="AK15" s="58">
        <v>0.35</v>
      </c>
    </row>
    <row r="16" spans="1:37" ht="15.75" customHeight="1" x14ac:dyDescent="0.3">
      <c r="A16" s="18" t="str">
        <f>Districts_Setup!$B$15</f>
        <v>Devbhoomi Dwarka</v>
      </c>
      <c r="B16" s="58">
        <v>0.56999999999999995</v>
      </c>
      <c r="C16" s="58">
        <v>0.53</v>
      </c>
      <c r="D16" s="58">
        <v>0.57999999999999996</v>
      </c>
      <c r="E16" s="58">
        <v>0.56999999999999995</v>
      </c>
      <c r="F16" s="58">
        <v>0.52</v>
      </c>
      <c r="G16" s="58">
        <v>0.43</v>
      </c>
      <c r="H16" s="58">
        <v>0.53</v>
      </c>
      <c r="I16" s="58">
        <v>0.51</v>
      </c>
      <c r="J16" s="58">
        <v>0.51</v>
      </c>
      <c r="K16" s="58">
        <v>0.59</v>
      </c>
      <c r="L16" s="58">
        <v>0.56000000000000005</v>
      </c>
      <c r="M16" s="58">
        <v>0.56999999999999995</v>
      </c>
      <c r="N16" s="58">
        <v>0.4</v>
      </c>
      <c r="O16" s="58">
        <v>0.33</v>
      </c>
      <c r="P16" s="58">
        <v>0.46</v>
      </c>
      <c r="Q16" s="58">
        <v>0.43</v>
      </c>
      <c r="R16" s="58">
        <v>0.47</v>
      </c>
      <c r="S16" s="58">
        <v>0.47</v>
      </c>
      <c r="T16" s="58">
        <v>0.48</v>
      </c>
      <c r="U16" s="58">
        <v>0.49</v>
      </c>
      <c r="V16" s="58">
        <v>0.56999999999999995</v>
      </c>
      <c r="W16" s="58">
        <v>0.44</v>
      </c>
      <c r="X16" s="58">
        <v>0.54</v>
      </c>
      <c r="Y16" s="58">
        <v>0.56000000000000005</v>
      </c>
      <c r="Z16" s="58">
        <v>0.28000000000000003</v>
      </c>
      <c r="AA16" s="58">
        <v>0.27</v>
      </c>
      <c r="AB16" s="58">
        <v>0.33</v>
      </c>
      <c r="AC16" s="58">
        <v>0.35</v>
      </c>
      <c r="AD16" s="58">
        <v>0.36</v>
      </c>
      <c r="AE16" s="58">
        <v>0.32</v>
      </c>
      <c r="AF16" s="58">
        <v>0.4</v>
      </c>
      <c r="AG16" s="58">
        <v>0.43</v>
      </c>
      <c r="AH16" s="58">
        <v>0.39</v>
      </c>
      <c r="AI16" s="58">
        <v>0.33</v>
      </c>
      <c r="AJ16" s="58">
        <v>0.4</v>
      </c>
      <c r="AK16" s="58">
        <v>0.41</v>
      </c>
    </row>
    <row r="17" spans="1:37" ht="15.75" customHeight="1" x14ac:dyDescent="0.3">
      <c r="A17" s="18" t="str">
        <f>Districts_Setup!$B$16</f>
        <v>Gandhinagar</v>
      </c>
      <c r="B17" s="58">
        <v>0.6</v>
      </c>
      <c r="C17" s="58">
        <v>0.56999999999999995</v>
      </c>
      <c r="D17" s="58">
        <v>0.62</v>
      </c>
      <c r="E17" s="58">
        <v>0.69</v>
      </c>
      <c r="F17" s="58">
        <v>0.56999999999999995</v>
      </c>
      <c r="G17" s="58">
        <v>0.53</v>
      </c>
      <c r="H17" s="58">
        <v>0.57999999999999996</v>
      </c>
      <c r="I17" s="58">
        <v>0.64</v>
      </c>
      <c r="J17" s="58">
        <v>0.6</v>
      </c>
      <c r="K17" s="58">
        <v>0.49</v>
      </c>
      <c r="L17" s="58">
        <v>0.49</v>
      </c>
      <c r="M17" s="58">
        <v>0.61</v>
      </c>
      <c r="N17" s="58">
        <v>0.46</v>
      </c>
      <c r="O17" s="58">
        <v>0.4</v>
      </c>
      <c r="P17" s="58">
        <v>0.37</v>
      </c>
      <c r="Q17" s="58">
        <v>0.52</v>
      </c>
      <c r="R17" s="58">
        <v>0.5</v>
      </c>
      <c r="S17" s="58">
        <v>0.46</v>
      </c>
      <c r="T17" s="58">
        <v>0.45</v>
      </c>
      <c r="U17" s="58">
        <v>0.54</v>
      </c>
      <c r="V17" s="58">
        <v>0.63</v>
      </c>
      <c r="W17" s="58">
        <v>0.59</v>
      </c>
      <c r="X17" s="58">
        <v>0.53</v>
      </c>
      <c r="Y17" s="58">
        <v>0.66</v>
      </c>
      <c r="Z17" s="58">
        <v>0.33</v>
      </c>
      <c r="AA17" s="58">
        <v>0.31</v>
      </c>
      <c r="AB17" s="58">
        <v>0.33</v>
      </c>
      <c r="AC17" s="58">
        <v>0.44</v>
      </c>
      <c r="AD17" s="58">
        <v>0.43</v>
      </c>
      <c r="AE17" s="58">
        <v>0.4</v>
      </c>
      <c r="AF17" s="58">
        <v>0.4</v>
      </c>
      <c r="AG17" s="58">
        <v>0.5</v>
      </c>
      <c r="AH17" s="58">
        <v>0.42</v>
      </c>
      <c r="AI17" s="58">
        <v>0.4</v>
      </c>
      <c r="AJ17" s="58">
        <v>0.39</v>
      </c>
      <c r="AK17" s="58">
        <v>0.48</v>
      </c>
    </row>
    <row r="18" spans="1:37" ht="15.75" customHeight="1" x14ac:dyDescent="0.3">
      <c r="A18" s="18" t="str">
        <f>Districts_Setup!$B$17</f>
        <v>Gir Somnath</v>
      </c>
      <c r="B18" s="58">
        <v>0.54</v>
      </c>
      <c r="C18" s="58">
        <v>0.59</v>
      </c>
      <c r="D18" s="58">
        <v>0.5</v>
      </c>
      <c r="E18" s="58">
        <v>0.5</v>
      </c>
      <c r="F18" s="58">
        <v>0.48</v>
      </c>
      <c r="G18" s="58">
        <v>0.53</v>
      </c>
      <c r="H18" s="58">
        <v>0.45</v>
      </c>
      <c r="I18" s="58">
        <v>0.46</v>
      </c>
      <c r="J18" s="58">
        <v>0.55000000000000004</v>
      </c>
      <c r="K18" s="58">
        <v>0.3</v>
      </c>
      <c r="L18" s="58">
        <v>0.44</v>
      </c>
      <c r="M18" s="58">
        <v>0.51</v>
      </c>
      <c r="N18" s="58">
        <v>0.43</v>
      </c>
      <c r="O18" s="58">
        <v>0.3</v>
      </c>
      <c r="P18" s="58">
        <v>0.38</v>
      </c>
      <c r="Q18" s="58">
        <v>0.44</v>
      </c>
      <c r="R18" s="58">
        <v>0.44</v>
      </c>
      <c r="S18" s="58">
        <v>0.33</v>
      </c>
      <c r="T18" s="58">
        <v>0.4</v>
      </c>
      <c r="U18" s="58">
        <v>0.48</v>
      </c>
      <c r="V18" s="58">
        <v>0.59</v>
      </c>
      <c r="W18" s="58">
        <v>0.46</v>
      </c>
      <c r="X18" s="58">
        <v>0.42</v>
      </c>
      <c r="Y18" s="58">
        <v>0.51</v>
      </c>
      <c r="Z18" s="58">
        <v>0.36</v>
      </c>
      <c r="AA18" s="58">
        <v>0.28000000000000003</v>
      </c>
      <c r="AB18" s="58">
        <v>0.28999999999999998</v>
      </c>
      <c r="AC18" s="58">
        <v>0.36</v>
      </c>
      <c r="AD18" s="58">
        <v>0.43</v>
      </c>
      <c r="AE18" s="58">
        <v>0.32</v>
      </c>
      <c r="AF18" s="58">
        <v>0.34</v>
      </c>
      <c r="AG18" s="58">
        <v>0.4</v>
      </c>
      <c r="AH18" s="58">
        <v>0.42</v>
      </c>
      <c r="AI18" s="58">
        <v>0.36</v>
      </c>
      <c r="AJ18" s="58">
        <v>0.34</v>
      </c>
      <c r="AK18" s="58">
        <v>0.41</v>
      </c>
    </row>
    <row r="19" spans="1:37" ht="15.75" customHeight="1" x14ac:dyDescent="0.3">
      <c r="A19" s="18" t="str">
        <f>Districts_Setup!$B$18</f>
        <v>Jamnagar</v>
      </c>
      <c r="B19" s="58">
        <v>0.44</v>
      </c>
      <c r="C19" s="58">
        <v>0.47</v>
      </c>
      <c r="D19" s="58">
        <v>0.48</v>
      </c>
      <c r="E19" s="58">
        <v>0.56000000000000005</v>
      </c>
      <c r="F19" s="58">
        <v>0.38</v>
      </c>
      <c r="G19" s="58">
        <v>0.42</v>
      </c>
      <c r="H19" s="58">
        <v>0.45</v>
      </c>
      <c r="I19" s="58">
        <v>0.51</v>
      </c>
      <c r="J19" s="58">
        <v>0.49</v>
      </c>
      <c r="K19" s="58">
        <v>0.51</v>
      </c>
      <c r="L19" s="58">
        <v>0.47</v>
      </c>
      <c r="M19" s="58">
        <v>0.55000000000000004</v>
      </c>
      <c r="N19" s="58">
        <v>0.44</v>
      </c>
      <c r="O19" s="58">
        <v>0.37</v>
      </c>
      <c r="P19" s="58">
        <v>0.34</v>
      </c>
      <c r="Q19" s="58">
        <v>0.48</v>
      </c>
      <c r="R19" s="58">
        <v>0.46</v>
      </c>
      <c r="S19" s="58">
        <v>0.43</v>
      </c>
      <c r="T19" s="58">
        <v>0.41</v>
      </c>
      <c r="U19" s="58">
        <v>0.52</v>
      </c>
      <c r="V19" s="58">
        <v>0.49</v>
      </c>
      <c r="W19" s="58">
        <v>0.45</v>
      </c>
      <c r="X19" s="58">
        <v>0.5</v>
      </c>
      <c r="Y19" s="58">
        <v>0.6</v>
      </c>
      <c r="Z19" s="58">
        <v>0.31</v>
      </c>
      <c r="AA19" s="58">
        <v>0.28999999999999998</v>
      </c>
      <c r="AB19" s="58">
        <v>0.32</v>
      </c>
      <c r="AC19" s="58">
        <v>0.37</v>
      </c>
      <c r="AD19" s="58">
        <v>0.4</v>
      </c>
      <c r="AE19" s="58">
        <v>0.35</v>
      </c>
      <c r="AF19" s="58">
        <v>0.38</v>
      </c>
      <c r="AG19" s="58">
        <v>0.43</v>
      </c>
      <c r="AH19" s="58">
        <v>0.4</v>
      </c>
      <c r="AI19" s="58">
        <v>0.36</v>
      </c>
      <c r="AJ19" s="58">
        <v>0.37</v>
      </c>
      <c r="AK19" s="58">
        <v>0.43</v>
      </c>
    </row>
    <row r="20" spans="1:37" ht="15.75" customHeight="1" x14ac:dyDescent="0.3">
      <c r="A20" s="18" t="str">
        <f>Districts_Setup!$B$19</f>
        <v>Junagadh</v>
      </c>
      <c r="B20" s="58">
        <v>0.56999999999999995</v>
      </c>
      <c r="C20" s="58">
        <v>0.56000000000000005</v>
      </c>
      <c r="D20" s="58">
        <v>0.56999999999999995</v>
      </c>
      <c r="E20" s="58">
        <v>0.57999999999999996</v>
      </c>
      <c r="F20" s="58">
        <v>0.46</v>
      </c>
      <c r="G20" s="58">
        <v>0.49</v>
      </c>
      <c r="H20" s="58">
        <v>0.5</v>
      </c>
      <c r="I20" s="58">
        <v>0.54</v>
      </c>
      <c r="J20" s="58">
        <v>0.56999999999999995</v>
      </c>
      <c r="K20" s="58">
        <v>0.44</v>
      </c>
      <c r="L20" s="58">
        <v>0.53</v>
      </c>
      <c r="M20" s="58">
        <v>0.64</v>
      </c>
      <c r="N20" s="58">
        <v>0.4</v>
      </c>
      <c r="O20" s="58">
        <v>0.35</v>
      </c>
      <c r="P20" s="58">
        <v>0.41</v>
      </c>
      <c r="Q20" s="58">
        <v>0.54</v>
      </c>
      <c r="R20" s="58">
        <v>0.49</v>
      </c>
      <c r="S20" s="58">
        <v>0.41</v>
      </c>
      <c r="T20" s="58">
        <v>0.46</v>
      </c>
      <c r="U20" s="58">
        <v>0.55000000000000004</v>
      </c>
      <c r="V20" s="58">
        <v>0.46</v>
      </c>
      <c r="W20" s="58">
        <v>0.45</v>
      </c>
      <c r="X20" s="58">
        <v>0.53</v>
      </c>
      <c r="Y20" s="58">
        <v>0.54</v>
      </c>
      <c r="Z20" s="58">
        <v>0.28999999999999998</v>
      </c>
      <c r="AA20" s="58">
        <v>0.28999999999999998</v>
      </c>
      <c r="AB20" s="58">
        <v>0.31</v>
      </c>
      <c r="AC20" s="58">
        <v>0.36</v>
      </c>
      <c r="AD20" s="58">
        <v>0.36</v>
      </c>
      <c r="AE20" s="58">
        <v>0.42</v>
      </c>
      <c r="AF20" s="58">
        <v>0.4</v>
      </c>
      <c r="AG20" s="58">
        <v>0.44</v>
      </c>
      <c r="AH20" s="58">
        <v>0.37</v>
      </c>
      <c r="AI20" s="58">
        <v>0.4</v>
      </c>
      <c r="AJ20" s="58">
        <v>0.39</v>
      </c>
      <c r="AK20" s="58">
        <v>0.41</v>
      </c>
    </row>
    <row r="21" spans="1:37" ht="15.75" customHeight="1" x14ac:dyDescent="0.3">
      <c r="A21" s="18" t="str">
        <f>Districts_Setup!$B$20</f>
        <v>Kutch</v>
      </c>
      <c r="B21" s="58">
        <v>0.5</v>
      </c>
      <c r="C21" s="58">
        <v>0.56000000000000005</v>
      </c>
      <c r="D21" s="58">
        <v>0.49</v>
      </c>
      <c r="E21" s="58">
        <v>0.56000000000000005</v>
      </c>
      <c r="F21" s="58">
        <v>0.47</v>
      </c>
      <c r="G21" s="58">
        <v>0.5</v>
      </c>
      <c r="H21" s="58">
        <v>0.46</v>
      </c>
      <c r="I21" s="58">
        <v>0.52</v>
      </c>
      <c r="J21" s="58">
        <v>0.51</v>
      </c>
      <c r="K21" s="58">
        <v>0.42</v>
      </c>
      <c r="L21" s="58">
        <v>0.48</v>
      </c>
      <c r="M21" s="58">
        <v>0.51</v>
      </c>
      <c r="N21" s="58">
        <v>0.37</v>
      </c>
      <c r="O21" s="58">
        <v>0.34</v>
      </c>
      <c r="P21" s="58">
        <v>0.38</v>
      </c>
      <c r="Q21" s="58">
        <v>0.43</v>
      </c>
      <c r="R21" s="58">
        <v>0.43</v>
      </c>
      <c r="S21" s="58">
        <v>0.38</v>
      </c>
      <c r="T21" s="58">
        <v>0.42</v>
      </c>
      <c r="U21" s="58">
        <v>0.48</v>
      </c>
      <c r="V21" s="58">
        <v>0.52</v>
      </c>
      <c r="W21" s="58">
        <v>0.49</v>
      </c>
      <c r="X21" s="58">
        <v>0.48</v>
      </c>
      <c r="Y21" s="58">
        <v>0.57999999999999996</v>
      </c>
      <c r="Z21" s="58">
        <v>0.33</v>
      </c>
      <c r="AA21" s="58">
        <v>0.31</v>
      </c>
      <c r="AB21" s="58">
        <v>0.28999999999999998</v>
      </c>
      <c r="AC21" s="58">
        <v>0.37</v>
      </c>
      <c r="AD21" s="58">
        <v>0.4</v>
      </c>
      <c r="AE21" s="58">
        <v>0.36</v>
      </c>
      <c r="AF21" s="58">
        <v>0.36</v>
      </c>
      <c r="AG21" s="58">
        <v>0.44</v>
      </c>
      <c r="AH21" s="58">
        <v>0.38</v>
      </c>
      <c r="AI21" s="58">
        <v>0.32</v>
      </c>
      <c r="AJ21" s="58">
        <v>0.36</v>
      </c>
      <c r="AK21" s="58">
        <v>0.41</v>
      </c>
    </row>
    <row r="22" spans="1:37" ht="15.75" customHeight="1" x14ac:dyDescent="0.3">
      <c r="A22" s="18" t="str">
        <f>Districts_Setup!$B$21</f>
        <v>Kheda</v>
      </c>
      <c r="B22" s="58">
        <v>0.59</v>
      </c>
      <c r="C22" s="58">
        <v>0.57999999999999996</v>
      </c>
      <c r="D22" s="58">
        <v>0.51</v>
      </c>
      <c r="E22" s="58">
        <v>0.56000000000000005</v>
      </c>
      <c r="F22" s="58">
        <v>0.55000000000000004</v>
      </c>
      <c r="G22" s="58">
        <v>0.45</v>
      </c>
      <c r="H22" s="58">
        <v>0.45</v>
      </c>
      <c r="I22" s="58">
        <v>0.49</v>
      </c>
      <c r="J22" s="58">
        <v>0.49</v>
      </c>
      <c r="K22" s="58">
        <v>0.25</v>
      </c>
      <c r="L22" s="58">
        <v>0.45</v>
      </c>
      <c r="M22" s="58">
        <v>0.51</v>
      </c>
      <c r="N22" s="58">
        <v>0.37</v>
      </c>
      <c r="O22" s="58">
        <v>0.24</v>
      </c>
      <c r="P22" s="58">
        <v>0.34</v>
      </c>
      <c r="Q22" s="58">
        <v>0.38</v>
      </c>
      <c r="R22" s="58">
        <v>0.44</v>
      </c>
      <c r="S22" s="58">
        <v>0.3</v>
      </c>
      <c r="T22" s="58">
        <v>0.42</v>
      </c>
      <c r="U22" s="58">
        <v>0.47</v>
      </c>
      <c r="V22" s="58">
        <v>0.51</v>
      </c>
      <c r="W22" s="58">
        <v>0.48</v>
      </c>
      <c r="X22" s="58">
        <v>0.42</v>
      </c>
      <c r="Y22" s="58">
        <v>0.54</v>
      </c>
      <c r="Z22" s="58">
        <v>0.34</v>
      </c>
      <c r="AA22" s="58">
        <v>0.27</v>
      </c>
      <c r="AB22" s="58">
        <v>0.27</v>
      </c>
      <c r="AC22" s="58">
        <v>0.33</v>
      </c>
      <c r="AD22" s="58">
        <v>0.44</v>
      </c>
      <c r="AE22" s="58">
        <v>0.31</v>
      </c>
      <c r="AF22" s="58">
        <v>0.35</v>
      </c>
      <c r="AG22" s="58">
        <v>0.4</v>
      </c>
      <c r="AH22" s="58">
        <v>0.38</v>
      </c>
      <c r="AI22" s="58">
        <v>0.31</v>
      </c>
      <c r="AJ22" s="58">
        <v>0.32</v>
      </c>
      <c r="AK22" s="58">
        <v>0.4</v>
      </c>
    </row>
    <row r="23" spans="1:37" ht="15.75" customHeight="1" x14ac:dyDescent="0.3">
      <c r="A23" s="18" t="str">
        <f>Districts_Setup!$B$22</f>
        <v>Mahisagar</v>
      </c>
      <c r="B23" s="58">
        <v>0.59</v>
      </c>
      <c r="C23" s="58">
        <v>0.62</v>
      </c>
      <c r="D23" s="58">
        <v>0.56999999999999995</v>
      </c>
      <c r="E23" s="58">
        <v>0.59</v>
      </c>
      <c r="F23" s="58">
        <v>0.53</v>
      </c>
      <c r="G23" s="58">
        <v>0.55000000000000004</v>
      </c>
      <c r="H23" s="58">
        <v>0.49</v>
      </c>
      <c r="I23" s="58">
        <v>0.53</v>
      </c>
      <c r="J23" s="58">
        <v>0.52</v>
      </c>
      <c r="K23" s="58">
        <v>0.5</v>
      </c>
      <c r="L23" s="58">
        <v>0.5</v>
      </c>
      <c r="M23" s="58">
        <v>0.48</v>
      </c>
      <c r="N23" s="58">
        <v>0.39</v>
      </c>
      <c r="O23" s="58">
        <v>0.41</v>
      </c>
      <c r="P23" s="58">
        <v>0.41</v>
      </c>
      <c r="Q23" s="58">
        <v>0.4</v>
      </c>
      <c r="R23" s="58">
        <v>0.48</v>
      </c>
      <c r="S23" s="58">
        <v>0.42</v>
      </c>
      <c r="T23" s="58">
        <v>0.45</v>
      </c>
      <c r="U23" s="58">
        <v>0.4</v>
      </c>
      <c r="V23" s="58">
        <v>0.48</v>
      </c>
      <c r="W23" s="58">
        <v>0.41</v>
      </c>
      <c r="X23" s="58">
        <v>0.42</v>
      </c>
      <c r="Y23" s="58">
        <v>0.46</v>
      </c>
      <c r="Z23" s="58">
        <v>0.3</v>
      </c>
      <c r="AA23" s="58">
        <v>0.28999999999999998</v>
      </c>
      <c r="AB23" s="58">
        <v>0.31</v>
      </c>
      <c r="AC23" s="58">
        <v>0.36</v>
      </c>
      <c r="AD23" s="58">
        <v>0.37</v>
      </c>
      <c r="AE23" s="58">
        <v>0.34</v>
      </c>
      <c r="AF23" s="58">
        <v>0.38</v>
      </c>
      <c r="AG23" s="58">
        <v>0.42</v>
      </c>
      <c r="AH23" s="58">
        <v>0.38</v>
      </c>
      <c r="AI23" s="58">
        <v>0.31</v>
      </c>
      <c r="AJ23" s="58">
        <v>0.34</v>
      </c>
      <c r="AK23" s="58">
        <v>0.39</v>
      </c>
    </row>
    <row r="24" spans="1:37" ht="15.75" customHeight="1" x14ac:dyDescent="0.3">
      <c r="A24" s="18" t="str">
        <f>Districts_Setup!$B$23</f>
        <v>Mehsana</v>
      </c>
      <c r="B24" s="58">
        <v>0.52</v>
      </c>
      <c r="C24" s="58">
        <v>0.41</v>
      </c>
      <c r="D24" s="58">
        <v>0.56000000000000005</v>
      </c>
      <c r="E24" s="58">
        <v>0.62</v>
      </c>
      <c r="F24" s="58">
        <v>0.46</v>
      </c>
      <c r="G24" s="58">
        <v>0.36</v>
      </c>
      <c r="H24" s="58">
        <v>0.51</v>
      </c>
      <c r="I24" s="58">
        <v>0.55000000000000004</v>
      </c>
      <c r="J24" s="58">
        <v>0.57999999999999996</v>
      </c>
      <c r="K24" s="58">
        <v>0.57999999999999996</v>
      </c>
      <c r="L24" s="58">
        <v>0.53</v>
      </c>
      <c r="M24" s="58">
        <v>0.59</v>
      </c>
      <c r="N24" s="58">
        <v>0.42</v>
      </c>
      <c r="O24" s="58">
        <v>0.48</v>
      </c>
      <c r="P24" s="58">
        <v>0.4</v>
      </c>
      <c r="Q24" s="58">
        <v>0.47</v>
      </c>
      <c r="R24" s="58">
        <v>0.51</v>
      </c>
      <c r="S24" s="58">
        <v>0.42</v>
      </c>
      <c r="T24" s="58">
        <v>0.46</v>
      </c>
      <c r="U24" s="58">
        <v>0.49</v>
      </c>
      <c r="V24" s="58">
        <v>0.47</v>
      </c>
      <c r="W24" s="58">
        <v>0.49</v>
      </c>
      <c r="X24" s="58">
        <v>0.47</v>
      </c>
      <c r="Y24" s="58">
        <v>0.57999999999999996</v>
      </c>
      <c r="Z24" s="58">
        <v>0.33</v>
      </c>
      <c r="AA24" s="58">
        <v>0.27</v>
      </c>
      <c r="AB24" s="58">
        <v>0.28999999999999998</v>
      </c>
      <c r="AC24" s="58">
        <v>0.38</v>
      </c>
      <c r="AD24" s="58">
        <v>0.38</v>
      </c>
      <c r="AE24" s="58">
        <v>0.36</v>
      </c>
      <c r="AF24" s="58">
        <v>0.35</v>
      </c>
      <c r="AG24" s="58">
        <v>0.42</v>
      </c>
      <c r="AH24" s="58">
        <v>0.37</v>
      </c>
      <c r="AI24" s="58">
        <v>0.32</v>
      </c>
      <c r="AJ24" s="58">
        <v>0.35</v>
      </c>
      <c r="AK24" s="58">
        <v>0.42</v>
      </c>
    </row>
    <row r="25" spans="1:37" ht="15.75" customHeight="1" x14ac:dyDescent="0.3">
      <c r="A25" s="18" t="str">
        <f>Districts_Setup!$B$24</f>
        <v>Morbi</v>
      </c>
      <c r="B25" s="58">
        <v>0.61</v>
      </c>
      <c r="C25" s="58">
        <v>0.5</v>
      </c>
      <c r="D25" s="58">
        <v>0.59</v>
      </c>
      <c r="E25" s="58">
        <v>0.63</v>
      </c>
      <c r="F25" s="58">
        <v>0.56999999999999995</v>
      </c>
      <c r="G25" s="58">
        <v>0.4</v>
      </c>
      <c r="H25" s="58">
        <v>0.52</v>
      </c>
      <c r="I25" s="58">
        <v>0.56999999999999995</v>
      </c>
      <c r="J25" s="58">
        <v>0.41</v>
      </c>
      <c r="K25" s="58">
        <v>0.43</v>
      </c>
      <c r="L25" s="58">
        <v>0.48</v>
      </c>
      <c r="M25" s="58">
        <v>0.57999999999999996</v>
      </c>
      <c r="N25" s="58">
        <v>0.31</v>
      </c>
      <c r="O25" s="58">
        <v>0.28999999999999998</v>
      </c>
      <c r="P25" s="58">
        <v>0.37</v>
      </c>
      <c r="Q25" s="58">
        <v>0.5</v>
      </c>
      <c r="R25" s="58">
        <v>0.44</v>
      </c>
      <c r="S25" s="58">
        <v>0.38</v>
      </c>
      <c r="T25" s="58">
        <v>0.42</v>
      </c>
      <c r="U25" s="58">
        <v>0.51</v>
      </c>
      <c r="V25" s="58">
        <v>0.52</v>
      </c>
      <c r="W25" s="58">
        <v>0.46</v>
      </c>
      <c r="X25" s="58">
        <v>0.48</v>
      </c>
      <c r="Y25" s="58">
        <v>0.52</v>
      </c>
      <c r="Z25" s="58">
        <v>0.3</v>
      </c>
      <c r="AA25" s="58">
        <v>0.31</v>
      </c>
      <c r="AB25" s="58">
        <v>0.3</v>
      </c>
      <c r="AC25" s="58">
        <v>0.32</v>
      </c>
      <c r="AD25" s="58">
        <v>0.38</v>
      </c>
      <c r="AE25" s="58">
        <v>0.36</v>
      </c>
      <c r="AF25" s="58">
        <v>0.38</v>
      </c>
      <c r="AG25" s="58">
        <v>0.4</v>
      </c>
      <c r="AH25" s="58">
        <v>0.34</v>
      </c>
      <c r="AI25" s="58">
        <v>0.36</v>
      </c>
      <c r="AJ25" s="58">
        <v>0.36</v>
      </c>
      <c r="AK25" s="58">
        <v>0.39</v>
      </c>
    </row>
    <row r="26" spans="1:37" ht="15.75" customHeight="1" x14ac:dyDescent="0.3">
      <c r="A26" s="18" t="str">
        <f>Districts_Setup!$B$25</f>
        <v>Narmada</v>
      </c>
      <c r="B26" s="58">
        <v>0.69</v>
      </c>
      <c r="C26" s="58">
        <v>0.56999999999999995</v>
      </c>
      <c r="D26" s="58">
        <v>0.63</v>
      </c>
      <c r="E26" s="58">
        <v>0.62</v>
      </c>
      <c r="F26" s="58">
        <v>0.51</v>
      </c>
      <c r="G26" s="58">
        <v>0.51</v>
      </c>
      <c r="H26" s="58">
        <v>0.56999999999999995</v>
      </c>
      <c r="I26" s="58">
        <v>0.59</v>
      </c>
      <c r="J26" s="58">
        <v>0.45</v>
      </c>
      <c r="K26" s="58">
        <v>0.47</v>
      </c>
      <c r="L26" s="58">
        <v>0.56000000000000005</v>
      </c>
      <c r="M26" s="58">
        <v>0.49</v>
      </c>
      <c r="N26" s="58">
        <v>0.4</v>
      </c>
      <c r="O26" s="58">
        <v>0.36</v>
      </c>
      <c r="P26" s="58">
        <v>0.43</v>
      </c>
      <c r="Q26" s="58">
        <v>0.41</v>
      </c>
      <c r="R26" s="58">
        <v>0.5</v>
      </c>
      <c r="S26" s="58">
        <v>0.42</v>
      </c>
      <c r="T26" s="58">
        <v>0.46</v>
      </c>
      <c r="U26" s="58">
        <v>0.44</v>
      </c>
      <c r="V26" s="58">
        <v>0.3</v>
      </c>
      <c r="W26" s="58">
        <v>0.48</v>
      </c>
      <c r="X26" s="58">
        <v>0.59</v>
      </c>
      <c r="Y26" s="58">
        <v>0.66</v>
      </c>
      <c r="Z26" s="58">
        <v>0.27</v>
      </c>
      <c r="AA26" s="58">
        <v>0.27</v>
      </c>
      <c r="AB26" s="58">
        <v>0.36</v>
      </c>
      <c r="AC26" s="58">
        <v>0.39</v>
      </c>
      <c r="AD26" s="58">
        <v>0.32</v>
      </c>
      <c r="AE26" s="58">
        <v>0.36</v>
      </c>
      <c r="AF26" s="58">
        <v>0.42</v>
      </c>
      <c r="AG26" s="58">
        <v>0.45</v>
      </c>
      <c r="AH26" s="58">
        <v>0.33</v>
      </c>
      <c r="AI26" s="58">
        <v>0.35</v>
      </c>
      <c r="AJ26" s="58">
        <v>0.38</v>
      </c>
      <c r="AK26" s="58">
        <v>0.44</v>
      </c>
    </row>
    <row r="27" spans="1:37" ht="15.75" customHeight="1" x14ac:dyDescent="0.3">
      <c r="A27" s="18" t="str">
        <f>Districts_Setup!$B$26</f>
        <v>Navsari</v>
      </c>
      <c r="B27" s="58">
        <v>0.59</v>
      </c>
      <c r="C27" s="58">
        <v>0.51</v>
      </c>
      <c r="D27" s="58">
        <v>0.6</v>
      </c>
      <c r="E27" s="58">
        <v>0.56999999999999995</v>
      </c>
      <c r="F27" s="58">
        <v>0.5</v>
      </c>
      <c r="G27" s="58">
        <v>0.47</v>
      </c>
      <c r="H27" s="58">
        <v>0.56000000000000005</v>
      </c>
      <c r="I27" s="58">
        <v>0.52</v>
      </c>
      <c r="J27" s="58">
        <v>0.55000000000000004</v>
      </c>
      <c r="K27" s="58">
        <v>0.47</v>
      </c>
      <c r="L27" s="58">
        <v>0.55000000000000004</v>
      </c>
      <c r="M27" s="58">
        <v>0.57999999999999996</v>
      </c>
      <c r="N27" s="58">
        <v>0.42</v>
      </c>
      <c r="O27" s="58">
        <v>0.36</v>
      </c>
      <c r="P27" s="58">
        <v>0.41</v>
      </c>
      <c r="Q27" s="58">
        <v>0.46</v>
      </c>
      <c r="R27" s="58">
        <v>0.51</v>
      </c>
      <c r="S27" s="58">
        <v>0.42</v>
      </c>
      <c r="T27" s="58">
        <v>0.51</v>
      </c>
      <c r="U27" s="58">
        <v>0.49</v>
      </c>
      <c r="V27" s="58">
        <v>0.53</v>
      </c>
      <c r="W27" s="58">
        <v>0.5</v>
      </c>
      <c r="X27" s="58">
        <v>0.59</v>
      </c>
      <c r="Y27" s="58">
        <v>0.56000000000000005</v>
      </c>
      <c r="Z27" s="58">
        <v>0.37</v>
      </c>
      <c r="AA27" s="58">
        <v>0.3</v>
      </c>
      <c r="AB27" s="58">
        <v>0.38</v>
      </c>
      <c r="AC27" s="58">
        <v>0.37</v>
      </c>
      <c r="AD27" s="58">
        <v>0.45</v>
      </c>
      <c r="AE27" s="58">
        <v>0.38</v>
      </c>
      <c r="AF27" s="58">
        <v>0.46</v>
      </c>
      <c r="AG27" s="58">
        <v>0.41</v>
      </c>
      <c r="AH27" s="58">
        <v>0.42</v>
      </c>
      <c r="AI27" s="58">
        <v>0.37</v>
      </c>
      <c r="AJ27" s="58">
        <v>0.44</v>
      </c>
      <c r="AK27" s="58">
        <v>0.41</v>
      </c>
    </row>
    <row r="28" spans="1:37" ht="15.75" customHeight="1" x14ac:dyDescent="0.3">
      <c r="A28" s="18" t="str">
        <f>Districts_Setup!$B$27</f>
        <v>Panchmahal</v>
      </c>
      <c r="B28" s="58">
        <v>0.59</v>
      </c>
      <c r="C28" s="58">
        <v>0.57999999999999996</v>
      </c>
      <c r="D28" s="58">
        <v>0.61</v>
      </c>
      <c r="E28" s="58">
        <v>0.62</v>
      </c>
      <c r="F28" s="58">
        <v>0.44</v>
      </c>
      <c r="G28" s="58">
        <v>0.5</v>
      </c>
      <c r="H28" s="58">
        <v>0.56000000000000005</v>
      </c>
      <c r="I28" s="58">
        <v>0.59</v>
      </c>
      <c r="J28" s="58">
        <v>0.54</v>
      </c>
      <c r="K28" s="58">
        <v>0.48</v>
      </c>
      <c r="L28" s="58">
        <v>0.52</v>
      </c>
      <c r="M28" s="58">
        <v>0.55000000000000004</v>
      </c>
      <c r="N28" s="58">
        <v>0.4</v>
      </c>
      <c r="O28" s="58">
        <v>0.34</v>
      </c>
      <c r="P28" s="58">
        <v>0.43</v>
      </c>
      <c r="Q28" s="58">
        <v>0.47</v>
      </c>
      <c r="R28" s="58">
        <v>0.43</v>
      </c>
      <c r="S28" s="58">
        <v>0.44</v>
      </c>
      <c r="T28" s="58">
        <v>0.47</v>
      </c>
      <c r="U28" s="58">
        <v>0.47</v>
      </c>
      <c r="V28" s="58">
        <v>0.51</v>
      </c>
      <c r="W28" s="58">
        <v>0.39</v>
      </c>
      <c r="X28" s="58">
        <v>0.47</v>
      </c>
      <c r="Y28" s="58">
        <v>0.51</v>
      </c>
      <c r="Z28" s="58">
        <v>0.28999999999999998</v>
      </c>
      <c r="AA28" s="58">
        <v>0.27</v>
      </c>
      <c r="AB28" s="58">
        <v>0.3</v>
      </c>
      <c r="AC28" s="58">
        <v>0.33</v>
      </c>
      <c r="AD28" s="58">
        <v>0.35</v>
      </c>
      <c r="AE28" s="58">
        <v>0.34</v>
      </c>
      <c r="AF28" s="58">
        <v>0.36</v>
      </c>
      <c r="AG28" s="58">
        <v>0.41</v>
      </c>
      <c r="AH28" s="58">
        <v>0.37</v>
      </c>
      <c r="AI28" s="58">
        <v>0.32</v>
      </c>
      <c r="AJ28" s="58">
        <v>0.35</v>
      </c>
      <c r="AK28" s="58">
        <v>0.4</v>
      </c>
    </row>
    <row r="29" spans="1:37" ht="15.75" customHeight="1" x14ac:dyDescent="0.3">
      <c r="A29" s="18" t="str">
        <f>Districts_Setup!$B$28</f>
        <v>Patan</v>
      </c>
      <c r="B29" s="58">
        <v>0.53</v>
      </c>
      <c r="C29" s="58">
        <v>0.4</v>
      </c>
      <c r="D29" s="58">
        <v>0.52</v>
      </c>
      <c r="E29" s="58">
        <v>0.56999999999999995</v>
      </c>
      <c r="F29" s="58">
        <v>0.59</v>
      </c>
      <c r="G29" s="58">
        <v>0.33</v>
      </c>
      <c r="H29" s="58">
        <v>0.47</v>
      </c>
      <c r="I29" s="58">
        <v>0.54</v>
      </c>
      <c r="J29" s="58">
        <v>0.47</v>
      </c>
      <c r="K29" s="58">
        <v>0.37</v>
      </c>
      <c r="L29" s="58">
        <v>0.5</v>
      </c>
      <c r="M29" s="58">
        <v>0.63</v>
      </c>
      <c r="N29" s="58">
        <v>0.4</v>
      </c>
      <c r="O29" s="58">
        <v>0.31</v>
      </c>
      <c r="P29" s="58">
        <v>0.38</v>
      </c>
      <c r="Q29" s="58">
        <v>0.51</v>
      </c>
      <c r="R29" s="58">
        <v>0.44</v>
      </c>
      <c r="S29" s="58">
        <v>0.33</v>
      </c>
      <c r="T29" s="58">
        <v>0.44</v>
      </c>
      <c r="U29" s="58">
        <v>0.56000000000000005</v>
      </c>
      <c r="V29" s="58">
        <v>0.5</v>
      </c>
      <c r="W29" s="58">
        <v>0.5</v>
      </c>
      <c r="X29" s="58">
        <v>0.44</v>
      </c>
      <c r="Y29" s="58">
        <v>0.64</v>
      </c>
      <c r="Z29" s="58">
        <v>0.34</v>
      </c>
      <c r="AA29" s="58">
        <v>0.3</v>
      </c>
      <c r="AB29" s="58">
        <v>0.28999999999999998</v>
      </c>
      <c r="AC29" s="58">
        <v>0.4</v>
      </c>
      <c r="AD29" s="58">
        <v>0.42</v>
      </c>
      <c r="AE29" s="58">
        <v>0.35</v>
      </c>
      <c r="AF29" s="58">
        <v>0.36</v>
      </c>
      <c r="AG29" s="58">
        <v>0.45</v>
      </c>
      <c r="AH29" s="58">
        <v>0.41</v>
      </c>
      <c r="AI29" s="58">
        <v>0.37</v>
      </c>
      <c r="AJ29" s="58">
        <v>0.35</v>
      </c>
      <c r="AK29" s="58">
        <v>0.43</v>
      </c>
    </row>
    <row r="30" spans="1:37" ht="15.75" customHeight="1" x14ac:dyDescent="0.3">
      <c r="A30" s="18" t="str">
        <f>Districts_Setup!$B$29</f>
        <v>Porbandar</v>
      </c>
      <c r="B30" s="58">
        <v>0.56999999999999995</v>
      </c>
      <c r="C30" s="58">
        <v>0.4</v>
      </c>
      <c r="D30" s="58">
        <v>0.51</v>
      </c>
      <c r="E30" s="58">
        <v>0.53</v>
      </c>
      <c r="F30" s="58">
        <v>0.53</v>
      </c>
      <c r="G30" s="58">
        <v>0.37</v>
      </c>
      <c r="H30" s="58">
        <v>0.47</v>
      </c>
      <c r="I30" s="58">
        <v>0.52</v>
      </c>
      <c r="J30" s="58">
        <v>0.5</v>
      </c>
      <c r="K30" s="58">
        <v>0.48</v>
      </c>
      <c r="L30" s="58">
        <v>0.52</v>
      </c>
      <c r="M30" s="58">
        <v>0.61</v>
      </c>
      <c r="N30" s="58">
        <v>0.33</v>
      </c>
      <c r="O30" s="58">
        <v>0.33</v>
      </c>
      <c r="P30" s="58">
        <v>0.39</v>
      </c>
      <c r="Q30" s="58">
        <v>0.44</v>
      </c>
      <c r="R30" s="58">
        <v>0.41</v>
      </c>
      <c r="S30" s="58">
        <v>0.38</v>
      </c>
      <c r="T30" s="58">
        <v>0.45</v>
      </c>
      <c r="U30" s="58">
        <v>0.53</v>
      </c>
      <c r="V30" s="58">
        <v>0.52</v>
      </c>
      <c r="W30" s="58">
        <v>0.43</v>
      </c>
      <c r="X30" s="58">
        <v>0.48</v>
      </c>
      <c r="Y30" s="58">
        <v>0.6</v>
      </c>
      <c r="Z30" s="58">
        <v>0.3</v>
      </c>
      <c r="AA30" s="58">
        <v>0.28000000000000003</v>
      </c>
      <c r="AB30" s="58">
        <v>0.3</v>
      </c>
      <c r="AC30" s="58">
        <v>0.34</v>
      </c>
      <c r="AD30" s="58">
        <v>0.37</v>
      </c>
      <c r="AE30" s="58">
        <v>0.34</v>
      </c>
      <c r="AF30" s="58">
        <v>0.37</v>
      </c>
      <c r="AG30" s="58">
        <v>0.4</v>
      </c>
      <c r="AH30" s="58">
        <v>0.37</v>
      </c>
      <c r="AI30" s="58">
        <v>0.33</v>
      </c>
      <c r="AJ30" s="58">
        <v>0.36</v>
      </c>
      <c r="AK30" s="58">
        <v>0.4</v>
      </c>
    </row>
    <row r="31" spans="1:37" ht="15.75" customHeight="1" x14ac:dyDescent="0.3">
      <c r="A31" s="18" t="str">
        <f>Districts_Setup!$B$30</f>
        <v>Rajkot</v>
      </c>
      <c r="B31" s="58">
        <v>0.54</v>
      </c>
      <c r="C31" s="58">
        <v>0.47</v>
      </c>
      <c r="D31" s="58">
        <v>0.54</v>
      </c>
      <c r="E31" s="58">
        <v>0.65</v>
      </c>
      <c r="F31" s="58">
        <v>0.51</v>
      </c>
      <c r="G31" s="58">
        <v>0.43</v>
      </c>
      <c r="H31" s="58">
        <v>0.47</v>
      </c>
      <c r="I31" s="58">
        <v>0.57999999999999996</v>
      </c>
      <c r="J31" s="58">
        <v>0.51</v>
      </c>
      <c r="K31" s="58">
        <v>0.42</v>
      </c>
      <c r="L31" s="58">
        <v>0.45</v>
      </c>
      <c r="M31" s="58">
        <v>0.56000000000000005</v>
      </c>
      <c r="N31" s="58">
        <v>0.39</v>
      </c>
      <c r="O31" s="58">
        <v>0.35</v>
      </c>
      <c r="P31" s="58">
        <v>0.37</v>
      </c>
      <c r="Q31" s="58">
        <v>0.47</v>
      </c>
      <c r="R31" s="58">
        <v>0.44</v>
      </c>
      <c r="S31" s="58">
        <v>0.39</v>
      </c>
      <c r="T31" s="58">
        <v>0.41</v>
      </c>
      <c r="U31" s="58">
        <v>0.5</v>
      </c>
      <c r="V31" s="58">
        <v>0.52</v>
      </c>
      <c r="W31" s="58">
        <v>0.48</v>
      </c>
      <c r="X31" s="58">
        <v>0.5</v>
      </c>
      <c r="Y31" s="58">
        <v>0.6</v>
      </c>
      <c r="Z31" s="58">
        <v>0.31</v>
      </c>
      <c r="AA31" s="58">
        <v>0.28000000000000003</v>
      </c>
      <c r="AB31" s="58">
        <v>0.31</v>
      </c>
      <c r="AC31" s="58">
        <v>0.4</v>
      </c>
      <c r="AD31" s="58">
        <v>0.39</v>
      </c>
      <c r="AE31" s="58">
        <v>0.35</v>
      </c>
      <c r="AF31" s="58">
        <v>0.38</v>
      </c>
      <c r="AG31" s="58">
        <v>0.44</v>
      </c>
      <c r="AH31" s="58">
        <v>0.41</v>
      </c>
      <c r="AI31" s="58">
        <v>0.32</v>
      </c>
      <c r="AJ31" s="58">
        <v>0.38</v>
      </c>
      <c r="AK31" s="58">
        <v>0.44</v>
      </c>
    </row>
    <row r="32" spans="1:37" ht="15.75" customHeight="1" x14ac:dyDescent="0.3">
      <c r="A32" s="18" t="str">
        <f>Districts_Setup!$B$31</f>
        <v>Sabarkantha</v>
      </c>
      <c r="B32" s="58">
        <v>0.59</v>
      </c>
      <c r="C32" s="58">
        <v>0.55000000000000004</v>
      </c>
      <c r="D32" s="58">
        <v>0.7</v>
      </c>
      <c r="E32" s="58">
        <v>0.65</v>
      </c>
      <c r="F32" s="58">
        <v>0.56999999999999995</v>
      </c>
      <c r="G32" s="58">
        <v>0.52</v>
      </c>
      <c r="H32" s="58">
        <v>0.66</v>
      </c>
      <c r="I32" s="58">
        <v>0.6</v>
      </c>
      <c r="J32" s="58">
        <v>0.45</v>
      </c>
      <c r="K32" s="58">
        <v>0.44</v>
      </c>
      <c r="L32" s="58">
        <v>0.51</v>
      </c>
      <c r="M32" s="58">
        <v>0.52</v>
      </c>
      <c r="N32" s="58">
        <v>0.34</v>
      </c>
      <c r="O32" s="58">
        <v>0.36</v>
      </c>
      <c r="P32" s="58">
        <v>0.39</v>
      </c>
      <c r="Q32" s="58">
        <v>0.46</v>
      </c>
      <c r="R32" s="58">
        <v>0.39</v>
      </c>
      <c r="S32" s="58">
        <v>0.38</v>
      </c>
      <c r="T32" s="58">
        <v>0.43</v>
      </c>
      <c r="U32" s="58">
        <v>0.48</v>
      </c>
      <c r="V32" s="58">
        <v>0.46</v>
      </c>
      <c r="W32" s="58">
        <v>0.44</v>
      </c>
      <c r="X32" s="58">
        <v>0.45</v>
      </c>
      <c r="Y32" s="58">
        <v>0.6</v>
      </c>
      <c r="Z32" s="58">
        <v>0.32</v>
      </c>
      <c r="AA32" s="58">
        <v>0.28000000000000003</v>
      </c>
      <c r="AB32" s="58">
        <v>0.3</v>
      </c>
      <c r="AC32" s="58">
        <v>0.37</v>
      </c>
      <c r="AD32" s="58">
        <v>0.37</v>
      </c>
      <c r="AE32" s="58">
        <v>0.31</v>
      </c>
      <c r="AF32" s="58">
        <v>0.37</v>
      </c>
      <c r="AG32" s="58">
        <v>0.42</v>
      </c>
      <c r="AH32" s="58">
        <v>0.32</v>
      </c>
      <c r="AI32" s="58">
        <v>0.33</v>
      </c>
      <c r="AJ32" s="58">
        <v>0.36</v>
      </c>
      <c r="AK32" s="58">
        <v>0.43</v>
      </c>
    </row>
    <row r="33" spans="1:37" ht="15.75" customHeight="1" x14ac:dyDescent="0.3">
      <c r="A33" s="18" t="str">
        <f>Districts_Setup!$B$32</f>
        <v>Surat</v>
      </c>
      <c r="B33" s="58">
        <v>0.48</v>
      </c>
      <c r="C33" s="58">
        <v>0.57999999999999996</v>
      </c>
      <c r="D33" s="58">
        <v>0.56999999999999995</v>
      </c>
      <c r="E33" s="58">
        <v>0.55000000000000004</v>
      </c>
      <c r="F33" s="58">
        <v>0.48</v>
      </c>
      <c r="G33" s="58">
        <v>0.5</v>
      </c>
      <c r="H33" s="58">
        <v>0.52</v>
      </c>
      <c r="I33" s="58">
        <v>0.48</v>
      </c>
      <c r="J33" s="58">
        <v>0.55000000000000004</v>
      </c>
      <c r="K33" s="58">
        <v>0.46</v>
      </c>
      <c r="L33" s="58">
        <v>0.56999999999999995</v>
      </c>
      <c r="M33" s="58">
        <v>0.57999999999999996</v>
      </c>
      <c r="N33" s="58">
        <v>0.44</v>
      </c>
      <c r="O33" s="58">
        <v>0.34</v>
      </c>
      <c r="P33" s="58">
        <v>0.45</v>
      </c>
      <c r="Q33" s="58">
        <v>0.47</v>
      </c>
      <c r="R33" s="58">
        <v>0.48</v>
      </c>
      <c r="S33" s="58">
        <v>0.39</v>
      </c>
      <c r="T33" s="58">
        <v>0.49</v>
      </c>
      <c r="U33" s="58">
        <v>0.49</v>
      </c>
      <c r="V33" s="58">
        <v>0.57999999999999996</v>
      </c>
      <c r="W33" s="58">
        <v>0.5</v>
      </c>
      <c r="X33" s="58">
        <v>0.57999999999999996</v>
      </c>
      <c r="Y33" s="58">
        <v>0.6</v>
      </c>
      <c r="Z33" s="58">
        <v>0.33</v>
      </c>
      <c r="AA33" s="58">
        <v>0.3</v>
      </c>
      <c r="AB33" s="58">
        <v>0.37</v>
      </c>
      <c r="AC33" s="58">
        <v>0.3</v>
      </c>
      <c r="AD33" s="58">
        <v>0.42</v>
      </c>
      <c r="AE33" s="58">
        <v>0.37</v>
      </c>
      <c r="AF33" s="58">
        <v>0.42</v>
      </c>
      <c r="AG33" s="58">
        <v>0.43</v>
      </c>
      <c r="AH33" s="58">
        <v>0.41</v>
      </c>
      <c r="AI33" s="58">
        <v>0.37</v>
      </c>
      <c r="AJ33" s="58">
        <v>0.43</v>
      </c>
      <c r="AK33" s="58">
        <v>0.44</v>
      </c>
    </row>
    <row r="34" spans="1:37" ht="15.75" customHeight="1" x14ac:dyDescent="0.3">
      <c r="A34" s="18" t="str">
        <f>Districts_Setup!$B$33</f>
        <v>Surendranagar</v>
      </c>
      <c r="B34" s="58">
        <v>0.62</v>
      </c>
      <c r="C34" s="58">
        <v>0.4</v>
      </c>
      <c r="D34" s="58">
        <v>0.62</v>
      </c>
      <c r="E34" s="58">
        <v>0.68</v>
      </c>
      <c r="F34" s="58">
        <v>0.52</v>
      </c>
      <c r="G34" s="58">
        <v>0.38</v>
      </c>
      <c r="H34" s="58">
        <v>0.55000000000000004</v>
      </c>
      <c r="I34" s="58">
        <v>0.57999999999999996</v>
      </c>
      <c r="J34" s="58">
        <v>0.6</v>
      </c>
      <c r="K34" s="58">
        <v>0.4</v>
      </c>
      <c r="L34" s="58">
        <v>0.53</v>
      </c>
      <c r="M34" s="58">
        <v>0.69</v>
      </c>
      <c r="N34" s="58">
        <v>0.44</v>
      </c>
      <c r="O34" s="58">
        <v>0.45</v>
      </c>
      <c r="P34" s="58">
        <v>0.42</v>
      </c>
      <c r="Q34" s="58">
        <v>0.52</v>
      </c>
      <c r="R34" s="58">
        <v>0.51</v>
      </c>
      <c r="S34" s="58">
        <v>0.38</v>
      </c>
      <c r="T34" s="58">
        <v>0.47</v>
      </c>
      <c r="U34" s="58">
        <v>0.59</v>
      </c>
      <c r="V34" s="58">
        <v>0.59</v>
      </c>
      <c r="W34" s="58">
        <v>0.43</v>
      </c>
      <c r="X34" s="58">
        <v>0.45</v>
      </c>
      <c r="Y34" s="58">
        <v>0.51</v>
      </c>
      <c r="Z34" s="58">
        <v>0.35</v>
      </c>
      <c r="AA34" s="58">
        <v>0.35</v>
      </c>
      <c r="AB34" s="58">
        <v>0.3</v>
      </c>
      <c r="AC34" s="58">
        <v>0.33</v>
      </c>
      <c r="AD34" s="58">
        <v>0.37</v>
      </c>
      <c r="AE34" s="58">
        <v>0.37</v>
      </c>
      <c r="AF34" s="58">
        <v>0.35</v>
      </c>
      <c r="AG34" s="58">
        <v>0.43</v>
      </c>
      <c r="AH34" s="58">
        <v>0.37</v>
      </c>
      <c r="AI34" s="58">
        <v>0.34</v>
      </c>
      <c r="AJ34" s="58">
        <v>0.34</v>
      </c>
      <c r="AK34" s="58">
        <v>0.4</v>
      </c>
    </row>
    <row r="35" spans="1:37" ht="15.75" customHeight="1" x14ac:dyDescent="0.3">
      <c r="A35" s="18" t="str">
        <f>Districts_Setup!$B$34</f>
        <v>Tapi</v>
      </c>
      <c r="B35" s="58">
        <v>0.51</v>
      </c>
      <c r="C35" s="58">
        <v>0.62</v>
      </c>
      <c r="D35" s="58">
        <v>0.68</v>
      </c>
      <c r="E35" s="58">
        <v>0.61</v>
      </c>
      <c r="F35" s="58">
        <v>0.54</v>
      </c>
      <c r="G35" s="58">
        <v>0.56000000000000005</v>
      </c>
      <c r="H35" s="58">
        <v>0.66</v>
      </c>
      <c r="I35" s="58">
        <v>0.59</v>
      </c>
      <c r="J35" s="58">
        <v>0.56000000000000005</v>
      </c>
      <c r="K35" s="58">
        <v>0.52</v>
      </c>
      <c r="L35" s="58">
        <v>0.56999999999999995</v>
      </c>
      <c r="M35" s="58">
        <v>0.65</v>
      </c>
      <c r="N35" s="58">
        <v>0.39</v>
      </c>
      <c r="O35" s="58">
        <v>0.4</v>
      </c>
      <c r="P35" s="58">
        <v>0.47</v>
      </c>
      <c r="Q35" s="58">
        <v>0.53</v>
      </c>
      <c r="R35" s="58">
        <v>0.46</v>
      </c>
      <c r="S35" s="58">
        <v>0.48</v>
      </c>
      <c r="T35" s="58">
        <v>0.51</v>
      </c>
      <c r="U35" s="58">
        <v>0.6</v>
      </c>
      <c r="V35" s="58">
        <v>0.39</v>
      </c>
      <c r="W35" s="58">
        <v>0.51</v>
      </c>
      <c r="X35" s="58">
        <v>0.6</v>
      </c>
      <c r="Y35" s="58">
        <v>0.62</v>
      </c>
      <c r="Z35" s="58">
        <v>0.35</v>
      </c>
      <c r="AA35" s="58">
        <v>0.3</v>
      </c>
      <c r="AB35" s="58">
        <v>0.36</v>
      </c>
      <c r="AC35" s="58">
        <v>0.36</v>
      </c>
      <c r="AD35" s="58">
        <v>0.35</v>
      </c>
      <c r="AE35" s="58">
        <v>0.38</v>
      </c>
      <c r="AF35" s="58">
        <v>0.45</v>
      </c>
      <c r="AG35" s="58">
        <v>0.44</v>
      </c>
      <c r="AH35" s="58">
        <v>0.34</v>
      </c>
      <c r="AI35" s="58">
        <v>0.38</v>
      </c>
      <c r="AJ35" s="58">
        <v>0.42</v>
      </c>
      <c r="AK35" s="58">
        <v>0.4</v>
      </c>
    </row>
    <row r="36" spans="1:37" ht="15.75" customHeight="1" x14ac:dyDescent="0.3">
      <c r="A36" s="18" t="str">
        <f>Districts_Setup!$B$35</f>
        <v>Vadodara</v>
      </c>
      <c r="B36" s="58">
        <v>0.52</v>
      </c>
      <c r="C36" s="58">
        <v>0.49</v>
      </c>
      <c r="D36" s="58">
        <v>0.51</v>
      </c>
      <c r="E36" s="58">
        <v>0.54</v>
      </c>
      <c r="F36" s="58">
        <v>0.48</v>
      </c>
      <c r="G36" s="58">
        <v>0.45</v>
      </c>
      <c r="H36" s="58">
        <v>0.47</v>
      </c>
      <c r="I36" s="58">
        <v>0.48</v>
      </c>
      <c r="J36" s="58">
        <v>0.52</v>
      </c>
      <c r="K36" s="58">
        <v>0.46</v>
      </c>
      <c r="L36" s="58">
        <v>0.53</v>
      </c>
      <c r="M36" s="58">
        <v>0.56000000000000005</v>
      </c>
      <c r="N36" s="58">
        <v>0.41</v>
      </c>
      <c r="O36" s="58">
        <v>0.36</v>
      </c>
      <c r="P36" s="58">
        <v>0.4</v>
      </c>
      <c r="Q36" s="58">
        <v>0.45</v>
      </c>
      <c r="R36" s="58">
        <v>0.45</v>
      </c>
      <c r="S36" s="58">
        <v>0.42</v>
      </c>
      <c r="T36" s="58">
        <v>0.46</v>
      </c>
      <c r="U36" s="58">
        <v>0.48</v>
      </c>
      <c r="V36" s="58">
        <v>0.56000000000000005</v>
      </c>
      <c r="W36" s="58">
        <v>0.53</v>
      </c>
      <c r="X36" s="58">
        <v>0.52</v>
      </c>
      <c r="Y36" s="58">
        <v>0.57999999999999996</v>
      </c>
      <c r="Z36" s="58">
        <v>0.34</v>
      </c>
      <c r="AA36" s="58">
        <v>0.3</v>
      </c>
      <c r="AB36" s="58">
        <v>0.32</v>
      </c>
      <c r="AC36" s="58">
        <v>0.37</v>
      </c>
      <c r="AD36" s="58">
        <v>0.45</v>
      </c>
      <c r="AE36" s="58">
        <v>0.38</v>
      </c>
      <c r="AF36" s="58">
        <v>0.4</v>
      </c>
      <c r="AG36" s="58">
        <v>0.44</v>
      </c>
      <c r="AH36" s="58">
        <v>0.44</v>
      </c>
      <c r="AI36" s="58">
        <v>0.36</v>
      </c>
      <c r="AJ36" s="58">
        <v>0.39</v>
      </c>
      <c r="AK36" s="58">
        <v>0.43</v>
      </c>
    </row>
    <row r="37" spans="1:37" ht="15.75" customHeight="1" x14ac:dyDescent="0.3">
      <c r="A37" s="18" t="str">
        <f>Districts_Setup!$B$36</f>
        <v>Valsad</v>
      </c>
      <c r="B37" s="58">
        <v>0.56999999999999995</v>
      </c>
      <c r="C37" s="58">
        <v>0.6</v>
      </c>
      <c r="D37" s="58">
        <v>0.61</v>
      </c>
      <c r="E37" s="58">
        <v>0.57999999999999996</v>
      </c>
      <c r="F37" s="58">
        <v>0.54</v>
      </c>
      <c r="G37" s="58">
        <v>0.52</v>
      </c>
      <c r="H37" s="58">
        <v>0.54</v>
      </c>
      <c r="I37" s="58">
        <v>0.54</v>
      </c>
      <c r="J37" s="58">
        <v>0.52</v>
      </c>
      <c r="K37" s="58">
        <v>0.49</v>
      </c>
      <c r="L37" s="58">
        <v>0.56000000000000005</v>
      </c>
      <c r="M37" s="58">
        <v>0.53</v>
      </c>
      <c r="N37" s="58">
        <v>0.36</v>
      </c>
      <c r="O37" s="58">
        <v>0.37</v>
      </c>
      <c r="P37" s="58">
        <v>0.44</v>
      </c>
      <c r="Q37" s="58">
        <v>0.44</v>
      </c>
      <c r="R37" s="58">
        <v>0.45</v>
      </c>
      <c r="S37" s="58">
        <v>0.43</v>
      </c>
      <c r="T37" s="58">
        <v>0.48</v>
      </c>
      <c r="U37" s="58">
        <v>0.46</v>
      </c>
      <c r="V37" s="58">
        <v>0.57999999999999996</v>
      </c>
      <c r="W37" s="58">
        <v>0.44</v>
      </c>
      <c r="X37" s="58">
        <v>0.65</v>
      </c>
      <c r="Y37" s="58">
        <v>0.61</v>
      </c>
      <c r="Z37" s="58">
        <v>0.37</v>
      </c>
      <c r="AA37" s="58">
        <v>0.27</v>
      </c>
      <c r="AB37" s="58">
        <v>0.44</v>
      </c>
      <c r="AC37" s="58">
        <v>0.37</v>
      </c>
      <c r="AD37" s="58">
        <v>0.5</v>
      </c>
      <c r="AE37" s="58">
        <v>0.34</v>
      </c>
      <c r="AF37" s="58">
        <v>0.5</v>
      </c>
      <c r="AG37" s="58">
        <v>0.45</v>
      </c>
      <c r="AH37" s="58">
        <v>0.41</v>
      </c>
      <c r="AI37" s="58">
        <v>0.34</v>
      </c>
      <c r="AJ37" s="58">
        <v>0.46</v>
      </c>
      <c r="AK37" s="58">
        <v>0.43</v>
      </c>
    </row>
  </sheetData>
  <mergeCells count="12">
    <mergeCell ref="A1:AK1"/>
    <mergeCell ref="A2:AK2"/>
    <mergeCell ref="A3:A4"/>
    <mergeCell ref="B3:E3"/>
    <mergeCell ref="F3:I3"/>
    <mergeCell ref="J3:M3"/>
    <mergeCell ref="N3:Q3"/>
    <mergeCell ref="R3:U3"/>
    <mergeCell ref="V3:Y3"/>
    <mergeCell ref="Z3:AC3"/>
    <mergeCell ref="AD3:AG3"/>
    <mergeCell ref="AH3:AK3"/>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tint="-0.499984740745262"/>
  </sheetPr>
  <dimension ref="A1:BS13"/>
  <sheetViews>
    <sheetView showGridLines="0" topLeftCell="A3" zoomScaleNormal="100" workbookViewId="0">
      <pane xSplit="1" ySplit="2" topLeftCell="B5" activePane="bottomRight" state="frozen"/>
      <selection activeCell="A3" sqref="A3"/>
      <selection pane="topRight" activeCell="B3" sqref="B3"/>
      <selection pane="bottomLeft" activeCell="A5" sqref="A5"/>
      <selection pane="bottomRight" activeCell="BS13" sqref="BS13"/>
    </sheetView>
  </sheetViews>
  <sheetFormatPr defaultColWidth="8.6640625" defaultRowHeight="15.6" x14ac:dyDescent="0.3"/>
  <cols>
    <col min="1" max="1" width="42" style="11" customWidth="1"/>
    <col min="2" max="67" width="8" style="11" customWidth="1"/>
    <col min="68" max="69" width="13" style="11" customWidth="1"/>
    <col min="70" max="70" width="11" style="11" customWidth="1"/>
    <col min="71" max="71" width="45" style="11" customWidth="1"/>
    <col min="72" max="16384" width="8.6640625" style="11"/>
  </cols>
  <sheetData>
    <row r="1" spans="1:71" ht="25.5" customHeight="1" x14ac:dyDescent="0.3">
      <c r="A1" s="99" t="s">
        <v>791</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row>
    <row r="2" spans="1:71" x14ac:dyDescent="0.3">
      <c r="A2" s="80" t="s">
        <v>645</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row>
    <row r="3" spans="1:71" ht="30" customHeight="1" x14ac:dyDescent="0.3">
      <c r="A3" s="98" t="s">
        <v>646</v>
      </c>
      <c r="B3" s="98" t="str">
        <f>Districts_Setup!$B$4</f>
        <v>Ahmedabad</v>
      </c>
      <c r="C3" s="98"/>
      <c r="D3" s="98" t="str">
        <f>Districts_Setup!$B$5</f>
        <v>Amreli</v>
      </c>
      <c r="E3" s="98"/>
      <c r="F3" s="98" t="str">
        <f>Districts_Setup!$B$6</f>
        <v>Anand</v>
      </c>
      <c r="G3" s="98"/>
      <c r="H3" s="98" t="str">
        <f>Districts_Setup!$B$7</f>
        <v>Aravalli</v>
      </c>
      <c r="I3" s="98"/>
      <c r="J3" s="98" t="str">
        <f>Districts_Setup!$B$8</f>
        <v>Banaskantha</v>
      </c>
      <c r="K3" s="98"/>
      <c r="L3" s="98" t="str">
        <f>Districts_Setup!$B$9</f>
        <v>Bharuch</v>
      </c>
      <c r="M3" s="98"/>
      <c r="N3" s="98" t="str">
        <f>Districts_Setup!$B$10</f>
        <v>Bhavnagar</v>
      </c>
      <c r="O3" s="98"/>
      <c r="P3" s="98" t="str">
        <f>Districts_Setup!$B$11</f>
        <v>Botad</v>
      </c>
      <c r="Q3" s="98"/>
      <c r="R3" s="98" t="str">
        <f>Districts_Setup!$B$12</f>
        <v>Chhota Udepur</v>
      </c>
      <c r="S3" s="98"/>
      <c r="T3" s="98" t="str">
        <f>Districts_Setup!$B$13</f>
        <v>Dahod</v>
      </c>
      <c r="U3" s="98"/>
      <c r="V3" s="98" t="str">
        <f>Districts_Setup!$B$14</f>
        <v>Dang</v>
      </c>
      <c r="W3" s="98"/>
      <c r="X3" s="98" t="str">
        <f>Districts_Setup!$B$15</f>
        <v>Devbhoomi Dwarka</v>
      </c>
      <c r="Y3" s="98"/>
      <c r="Z3" s="98" t="str">
        <f>Districts_Setup!$B$16</f>
        <v>Gandhinagar</v>
      </c>
      <c r="AA3" s="98"/>
      <c r="AB3" s="98" t="str">
        <f>Districts_Setup!$B$17</f>
        <v>Gir Somnath</v>
      </c>
      <c r="AC3" s="98"/>
      <c r="AD3" s="98" t="str">
        <f>Districts_Setup!$B$18</f>
        <v>Jamnagar</v>
      </c>
      <c r="AE3" s="98"/>
      <c r="AF3" s="98" t="str">
        <f>Districts_Setup!$B$19</f>
        <v>Junagadh</v>
      </c>
      <c r="AG3" s="98"/>
      <c r="AH3" s="98" t="str">
        <f>Districts_Setup!$B$20</f>
        <v>Kutch</v>
      </c>
      <c r="AI3" s="98"/>
      <c r="AJ3" s="98" t="str">
        <f>Districts_Setup!$B$21</f>
        <v>Kheda</v>
      </c>
      <c r="AK3" s="98"/>
      <c r="AL3" s="98" t="str">
        <f>Districts_Setup!$B$22</f>
        <v>Mahisagar</v>
      </c>
      <c r="AM3" s="98"/>
      <c r="AN3" s="98" t="str">
        <f>Districts_Setup!$B$23</f>
        <v>Mehsana</v>
      </c>
      <c r="AO3" s="98"/>
      <c r="AP3" s="98" t="str">
        <f>Districts_Setup!$B$24</f>
        <v>Morbi</v>
      </c>
      <c r="AQ3" s="98"/>
      <c r="AR3" s="98" t="str">
        <f>Districts_Setup!$B$25</f>
        <v>Narmada</v>
      </c>
      <c r="AS3" s="98"/>
      <c r="AT3" s="98" t="str">
        <f>Districts_Setup!$B$26</f>
        <v>Navsari</v>
      </c>
      <c r="AU3" s="98"/>
      <c r="AV3" s="98" t="str">
        <f>Districts_Setup!$B$27</f>
        <v>Panchmahal</v>
      </c>
      <c r="AW3" s="98"/>
      <c r="AX3" s="98" t="str">
        <f>Districts_Setup!$B$28</f>
        <v>Patan</v>
      </c>
      <c r="AY3" s="98"/>
      <c r="AZ3" s="98" t="str">
        <f>Districts_Setup!$B$29</f>
        <v>Porbandar</v>
      </c>
      <c r="BA3" s="98"/>
      <c r="BB3" s="98" t="str">
        <f>Districts_Setup!$B$30</f>
        <v>Rajkot</v>
      </c>
      <c r="BC3" s="98"/>
      <c r="BD3" s="98" t="str">
        <f>Districts_Setup!$B$31</f>
        <v>Sabarkantha</v>
      </c>
      <c r="BE3" s="98"/>
      <c r="BF3" s="98" t="str">
        <f>Districts_Setup!$B$32</f>
        <v>Surat</v>
      </c>
      <c r="BG3" s="98"/>
      <c r="BH3" s="98" t="str">
        <f>Districts_Setup!$B$33</f>
        <v>Surendranagar</v>
      </c>
      <c r="BI3" s="98"/>
      <c r="BJ3" s="98" t="str">
        <f>Districts_Setup!$B$34</f>
        <v>Tapi</v>
      </c>
      <c r="BK3" s="98"/>
      <c r="BL3" s="98" t="str">
        <f>Districts_Setup!$B$35</f>
        <v>Vadodara</v>
      </c>
      <c r="BM3" s="98"/>
      <c r="BN3" s="98" t="str">
        <f>Districts_Setup!$B$36</f>
        <v>Valsad</v>
      </c>
      <c r="BO3" s="98"/>
      <c r="BP3" s="97" t="s">
        <v>792</v>
      </c>
      <c r="BQ3" s="97" t="s">
        <v>793</v>
      </c>
      <c r="BR3" s="97" t="s">
        <v>649</v>
      </c>
      <c r="BS3" s="97" t="s">
        <v>484</v>
      </c>
    </row>
    <row r="4" spans="1:71" ht="48" customHeight="1" x14ac:dyDescent="0.3">
      <c r="A4" s="98"/>
      <c r="B4" s="65" t="s">
        <v>650</v>
      </c>
      <c r="C4" s="65" t="s">
        <v>651</v>
      </c>
      <c r="D4" s="65" t="s">
        <v>650</v>
      </c>
      <c r="E4" s="65" t="s">
        <v>651</v>
      </c>
      <c r="F4" s="65" t="s">
        <v>650</v>
      </c>
      <c r="G4" s="65" t="s">
        <v>651</v>
      </c>
      <c r="H4" s="65" t="s">
        <v>650</v>
      </c>
      <c r="I4" s="65" t="s">
        <v>651</v>
      </c>
      <c r="J4" s="65" t="s">
        <v>650</v>
      </c>
      <c r="K4" s="65" t="s">
        <v>651</v>
      </c>
      <c r="L4" s="65" t="s">
        <v>650</v>
      </c>
      <c r="M4" s="65" t="s">
        <v>651</v>
      </c>
      <c r="N4" s="65" t="s">
        <v>650</v>
      </c>
      <c r="O4" s="65" t="s">
        <v>651</v>
      </c>
      <c r="P4" s="65" t="s">
        <v>650</v>
      </c>
      <c r="Q4" s="65" t="s">
        <v>651</v>
      </c>
      <c r="R4" s="65" t="s">
        <v>650</v>
      </c>
      <c r="S4" s="65" t="s">
        <v>651</v>
      </c>
      <c r="T4" s="65" t="s">
        <v>650</v>
      </c>
      <c r="U4" s="65" t="s">
        <v>651</v>
      </c>
      <c r="V4" s="65" t="s">
        <v>650</v>
      </c>
      <c r="W4" s="65" t="s">
        <v>651</v>
      </c>
      <c r="X4" s="65" t="s">
        <v>650</v>
      </c>
      <c r="Y4" s="65" t="s">
        <v>651</v>
      </c>
      <c r="Z4" s="65" t="s">
        <v>650</v>
      </c>
      <c r="AA4" s="65" t="s">
        <v>651</v>
      </c>
      <c r="AB4" s="65" t="s">
        <v>650</v>
      </c>
      <c r="AC4" s="65" t="s">
        <v>651</v>
      </c>
      <c r="AD4" s="65" t="s">
        <v>650</v>
      </c>
      <c r="AE4" s="65" t="s">
        <v>651</v>
      </c>
      <c r="AF4" s="65" t="s">
        <v>650</v>
      </c>
      <c r="AG4" s="65" t="s">
        <v>651</v>
      </c>
      <c r="AH4" s="65" t="s">
        <v>650</v>
      </c>
      <c r="AI4" s="65" t="s">
        <v>651</v>
      </c>
      <c r="AJ4" s="65" t="s">
        <v>650</v>
      </c>
      <c r="AK4" s="65" t="s">
        <v>651</v>
      </c>
      <c r="AL4" s="65" t="s">
        <v>650</v>
      </c>
      <c r="AM4" s="65" t="s">
        <v>651</v>
      </c>
      <c r="AN4" s="65" t="s">
        <v>650</v>
      </c>
      <c r="AO4" s="65" t="s">
        <v>651</v>
      </c>
      <c r="AP4" s="65" t="s">
        <v>650</v>
      </c>
      <c r="AQ4" s="65" t="s">
        <v>651</v>
      </c>
      <c r="AR4" s="65" t="s">
        <v>650</v>
      </c>
      <c r="AS4" s="65" t="s">
        <v>651</v>
      </c>
      <c r="AT4" s="65" t="s">
        <v>650</v>
      </c>
      <c r="AU4" s="65" t="s">
        <v>651</v>
      </c>
      <c r="AV4" s="65" t="s">
        <v>650</v>
      </c>
      <c r="AW4" s="65" t="s">
        <v>651</v>
      </c>
      <c r="AX4" s="65" t="s">
        <v>650</v>
      </c>
      <c r="AY4" s="65" t="s">
        <v>651</v>
      </c>
      <c r="AZ4" s="65" t="s">
        <v>650</v>
      </c>
      <c r="BA4" s="65" t="s">
        <v>651</v>
      </c>
      <c r="BB4" s="65" t="s">
        <v>650</v>
      </c>
      <c r="BC4" s="65" t="s">
        <v>651</v>
      </c>
      <c r="BD4" s="65" t="s">
        <v>650</v>
      </c>
      <c r="BE4" s="65" t="s">
        <v>651</v>
      </c>
      <c r="BF4" s="65" t="s">
        <v>650</v>
      </c>
      <c r="BG4" s="65" t="s">
        <v>651</v>
      </c>
      <c r="BH4" s="65" t="s">
        <v>650</v>
      </c>
      <c r="BI4" s="65" t="s">
        <v>651</v>
      </c>
      <c r="BJ4" s="65" t="s">
        <v>650</v>
      </c>
      <c r="BK4" s="65" t="s">
        <v>651</v>
      </c>
      <c r="BL4" s="65" t="s">
        <v>650</v>
      </c>
      <c r="BM4" s="65" t="s">
        <v>651</v>
      </c>
      <c r="BN4" s="65" t="s">
        <v>650</v>
      </c>
      <c r="BO4" s="65" t="s">
        <v>651</v>
      </c>
      <c r="BP4" s="97"/>
      <c r="BQ4" s="97"/>
      <c r="BR4" s="97"/>
      <c r="BS4" s="97"/>
    </row>
    <row r="5" spans="1:71" ht="30" customHeight="1" x14ac:dyDescent="0.3">
      <c r="A5" s="13" t="s">
        <v>652</v>
      </c>
      <c r="B5" s="58">
        <v>0.78</v>
      </c>
      <c r="C5" s="58">
        <v>0.78</v>
      </c>
      <c r="D5" s="58">
        <v>0.7136842105263157</v>
      </c>
      <c r="E5" s="58">
        <v>0.71157894736842109</v>
      </c>
      <c r="F5" s="58">
        <v>0.78105263157894744</v>
      </c>
      <c r="G5" s="58">
        <v>0.78105263157894744</v>
      </c>
      <c r="H5" s="58">
        <v>0.7784210526315789</v>
      </c>
      <c r="I5" s="58">
        <v>0.76315789473684204</v>
      </c>
      <c r="J5" s="58">
        <v>0.77947368421052632</v>
      </c>
      <c r="K5" s="58">
        <v>0.78368421052631576</v>
      </c>
      <c r="L5" s="58">
        <v>0.77947368421052632</v>
      </c>
      <c r="M5" s="58">
        <v>0.78368421052631576</v>
      </c>
      <c r="N5" s="58">
        <v>0.78105263157894744</v>
      </c>
      <c r="O5" s="58">
        <v>0.77789473684210519</v>
      </c>
      <c r="P5" s="58">
        <v>0.77894736842105261</v>
      </c>
      <c r="Q5" s="58">
        <v>0.78</v>
      </c>
      <c r="R5" s="58">
        <v>0.776842105263158</v>
      </c>
      <c r="S5" s="58">
        <v>0.76421052631578945</v>
      </c>
      <c r="T5" s="58">
        <v>0.77789473684210519</v>
      </c>
      <c r="U5" s="58">
        <v>0.76631578947368428</v>
      </c>
      <c r="V5" s="58">
        <v>0.74</v>
      </c>
      <c r="W5" s="58">
        <v>0.75</v>
      </c>
      <c r="X5" s="58">
        <v>0.76</v>
      </c>
      <c r="Y5" s="58">
        <v>0.77</v>
      </c>
      <c r="Z5" s="58">
        <v>0.78473684210526318</v>
      </c>
      <c r="AA5" s="58">
        <v>0.78157894736842115</v>
      </c>
      <c r="AB5" s="58">
        <v>0.80052631578947375</v>
      </c>
      <c r="AC5" s="58">
        <v>0.7878947368421052</v>
      </c>
      <c r="AD5" s="58">
        <v>0.76526315789473687</v>
      </c>
      <c r="AE5" s="58">
        <v>0.75789473684210518</v>
      </c>
      <c r="AF5" s="58">
        <v>0.77210526315789485</v>
      </c>
      <c r="AG5" s="58">
        <v>0.77526315789473688</v>
      </c>
      <c r="AH5" s="58">
        <v>0.75684210526315798</v>
      </c>
      <c r="AI5" s="58">
        <v>0.75157894736842112</v>
      </c>
      <c r="AJ5" s="58">
        <v>0.71578947368421053</v>
      </c>
      <c r="AK5" s="58">
        <v>0.7036842105263158</v>
      </c>
      <c r="AL5" s="58">
        <v>0.79421052631578948</v>
      </c>
      <c r="AM5" s="58">
        <v>0.79947368421052634</v>
      </c>
      <c r="AN5" s="58">
        <v>0.75894736842105259</v>
      </c>
      <c r="AO5" s="58">
        <v>0.74842105263157888</v>
      </c>
      <c r="AP5" s="58">
        <v>0.73684210526315796</v>
      </c>
      <c r="AQ5" s="58">
        <v>0.72947368421052627</v>
      </c>
      <c r="AR5" s="58">
        <v>0.76684210526315799</v>
      </c>
      <c r="AS5" s="58">
        <v>0.77</v>
      </c>
      <c r="AT5" s="58">
        <v>0.76263157894736833</v>
      </c>
      <c r="AU5" s="58">
        <v>0.74368421052631573</v>
      </c>
      <c r="AV5" s="58">
        <v>0.77052631578947373</v>
      </c>
      <c r="AW5" s="58">
        <v>0.76842105263157889</v>
      </c>
      <c r="AX5" s="58">
        <v>0.79105263157894745</v>
      </c>
      <c r="AY5" s="58">
        <v>0.78368421052631576</v>
      </c>
      <c r="AZ5" s="58">
        <v>0.80631578947368421</v>
      </c>
      <c r="BA5" s="58">
        <v>0.80894736842105264</v>
      </c>
      <c r="BB5" s="58">
        <v>0.77421052631578946</v>
      </c>
      <c r="BC5" s="58">
        <v>0.76526315789473687</v>
      </c>
      <c r="BD5" s="58">
        <v>0.78157894736842115</v>
      </c>
      <c r="BE5" s="58">
        <v>0.7784210526315789</v>
      </c>
      <c r="BF5" s="58">
        <v>0.73578947368421055</v>
      </c>
      <c r="BG5" s="58">
        <v>0.73157894736842111</v>
      </c>
      <c r="BH5" s="58">
        <v>0.79736842105263162</v>
      </c>
      <c r="BI5" s="58">
        <v>0.80210526315789477</v>
      </c>
      <c r="BJ5" s="58">
        <v>0.76947368421052631</v>
      </c>
      <c r="BK5" s="58">
        <v>0.7594736842105263</v>
      </c>
      <c r="BL5" s="58">
        <v>0.77578947368421058</v>
      </c>
      <c r="BM5" s="58">
        <v>0.75789473684210518</v>
      </c>
      <c r="BN5" s="58">
        <v>0.7405263157894737</v>
      </c>
      <c r="BO5" s="58">
        <v>0.74421052631578943</v>
      </c>
      <c r="BP5" s="60">
        <f t="shared" ref="BP5:BP13" si="0">IFERROR(AVERAGE(B5,D5,F5,H5,J5,L5,N5,P5,R5,T5,V5,X5,Z5,AB5,AD5,AF5,AH5,AJ5,AL5,AN5,AP5,AR5,AT5,AV5,AX5,AZ5,BB5,BD5,BF5,BH5,BJ5,BL5,BN5),0)</f>
        <v>0.76921850079744813</v>
      </c>
      <c r="BQ5" s="60">
        <f t="shared" ref="BQ5:BQ13" si="1">IFERROR(AVERAGE(C5,E5,G5,I5,K5,M5,O5,Q5,S5,U5,W5,Y5,AA5,AC5,AE5,AG5,AI5,AK5,AM5,AO5,AQ5,AS5,AU5,AW5,AY5,BA5,BC5,BE5,BG5,BI5,BK5,BM5,BO5),0)</f>
        <v>0.76547049441786286</v>
      </c>
      <c r="BR5" s="58"/>
      <c r="BS5" s="34" t="s">
        <v>653</v>
      </c>
    </row>
    <row r="6" spans="1:71" ht="30" customHeight="1" x14ac:dyDescent="0.3">
      <c r="A6" s="13" t="s">
        <v>654</v>
      </c>
      <c r="B6" s="58">
        <v>0.73</v>
      </c>
      <c r="C6" s="58">
        <v>0.72</v>
      </c>
      <c r="D6" s="58">
        <v>0.69214285714285706</v>
      </c>
      <c r="E6" s="58">
        <v>0.68071428571428572</v>
      </c>
      <c r="F6" s="58">
        <v>0.6785714285714286</v>
      </c>
      <c r="G6" s="58">
        <v>0.68285714285714294</v>
      </c>
      <c r="H6" s="58">
        <v>0.67</v>
      </c>
      <c r="I6" s="58">
        <v>0.66428571428571426</v>
      </c>
      <c r="J6" s="58">
        <v>0.66714285714285704</v>
      </c>
      <c r="K6" s="58">
        <v>0.67928571428571427</v>
      </c>
      <c r="L6" s="58">
        <v>0.66714285714285704</v>
      </c>
      <c r="M6" s="58">
        <v>0.67928571428571427</v>
      </c>
      <c r="N6" s="58">
        <v>0.67571428571428571</v>
      </c>
      <c r="O6" s="58">
        <v>0.68857142857142861</v>
      </c>
      <c r="P6" s="58">
        <v>0.66928571428571426</v>
      </c>
      <c r="Q6" s="58">
        <v>0.68</v>
      </c>
      <c r="R6" s="58">
        <v>0.65642857142857136</v>
      </c>
      <c r="S6" s="58">
        <v>0.63571428571428568</v>
      </c>
      <c r="T6" s="58">
        <v>0.72071428571428564</v>
      </c>
      <c r="U6" s="58">
        <v>0.7092857142857143</v>
      </c>
      <c r="V6" s="58">
        <v>0.68714285714285706</v>
      </c>
      <c r="W6" s="58">
        <v>0.69499999999999995</v>
      </c>
      <c r="X6" s="58">
        <v>0.7</v>
      </c>
      <c r="Y6" s="58">
        <v>0.7</v>
      </c>
      <c r="Z6" s="58">
        <v>0.66142857142857137</v>
      </c>
      <c r="AA6" s="58">
        <v>0.65214285714285714</v>
      </c>
      <c r="AB6" s="58">
        <v>0.67071428571428571</v>
      </c>
      <c r="AC6" s="58">
        <v>0.66</v>
      </c>
      <c r="AD6" s="58">
        <v>0.67285714285714293</v>
      </c>
      <c r="AE6" s="58">
        <v>0.65071428571428569</v>
      </c>
      <c r="AF6" s="58">
        <v>0.63571428571428568</v>
      </c>
      <c r="AG6" s="58">
        <v>0.64071428571428568</v>
      </c>
      <c r="AH6" s="58">
        <v>0.66857142857142859</v>
      </c>
      <c r="AI6" s="58">
        <v>0.65071428571428569</v>
      </c>
      <c r="AJ6" s="58">
        <v>0.59857142857142853</v>
      </c>
      <c r="AK6" s="58">
        <v>0.58499999999999996</v>
      </c>
      <c r="AL6" s="58">
        <v>0.60714285714285721</v>
      </c>
      <c r="AM6" s="58">
        <v>0.62071428571428566</v>
      </c>
      <c r="AN6" s="58">
        <v>0.57142857142857151</v>
      </c>
      <c r="AO6" s="58">
        <v>0.56857142857142851</v>
      </c>
      <c r="AP6" s="58">
        <v>0.57999999999999996</v>
      </c>
      <c r="AQ6" s="58">
        <v>0.56000000000000005</v>
      </c>
      <c r="AR6" s="58">
        <v>0.67214285714285704</v>
      </c>
      <c r="AS6" s="58">
        <v>0.6785714285714286</v>
      </c>
      <c r="AT6" s="58">
        <v>0.70428571428571429</v>
      </c>
      <c r="AU6" s="58">
        <v>0.69285714285714295</v>
      </c>
      <c r="AV6" s="58">
        <v>0.60428571428571431</v>
      </c>
      <c r="AW6" s="58">
        <v>0.60928571428571432</v>
      </c>
      <c r="AX6" s="58">
        <v>0.70571428571428574</v>
      </c>
      <c r="AY6" s="58">
        <v>0.72285714285714286</v>
      </c>
      <c r="AZ6" s="58">
        <v>0.74071428571428566</v>
      </c>
      <c r="BA6" s="58">
        <v>0.74928571428571433</v>
      </c>
      <c r="BB6" s="58">
        <v>0.61785714285714288</v>
      </c>
      <c r="BC6" s="58">
        <v>0.59857142857142853</v>
      </c>
      <c r="BD6" s="58">
        <v>0.69928571428571429</v>
      </c>
      <c r="BE6" s="58">
        <v>0.70214285714285707</v>
      </c>
      <c r="BF6" s="58">
        <v>0.6657142857142857</v>
      </c>
      <c r="BG6" s="58">
        <v>0.63642857142857145</v>
      </c>
      <c r="BH6" s="58">
        <v>0.67214285714285704</v>
      </c>
      <c r="BI6" s="58">
        <v>0.66928571428571426</v>
      </c>
      <c r="BJ6" s="58">
        <v>0.66785714285714293</v>
      </c>
      <c r="BK6" s="58">
        <v>0.65500000000000003</v>
      </c>
      <c r="BL6" s="58">
        <v>0.63071428571428567</v>
      </c>
      <c r="BM6" s="58">
        <v>0.63142857142857145</v>
      </c>
      <c r="BN6" s="58">
        <v>0.65785714285714292</v>
      </c>
      <c r="BO6" s="58">
        <v>0.65285714285714291</v>
      </c>
      <c r="BP6" s="60">
        <f t="shared" si="0"/>
        <v>0.66422077922077938</v>
      </c>
      <c r="BQ6" s="60">
        <f t="shared" si="1"/>
        <v>0.66067099567099574</v>
      </c>
      <c r="BR6" s="58"/>
      <c r="BS6" s="34"/>
    </row>
    <row r="7" spans="1:71" ht="30" customHeight="1" x14ac:dyDescent="0.3">
      <c r="A7" s="13" t="s">
        <v>655</v>
      </c>
      <c r="B7" s="58">
        <v>0.94</v>
      </c>
      <c r="C7" s="58">
        <v>0.94</v>
      </c>
      <c r="D7" s="58">
        <v>0.91466666666666674</v>
      </c>
      <c r="E7" s="58">
        <v>0.91466666666666674</v>
      </c>
      <c r="F7" s="58">
        <v>0.92400000000000004</v>
      </c>
      <c r="G7" s="58">
        <v>0.92066666666666663</v>
      </c>
      <c r="H7" s="58">
        <v>0.87066666666666659</v>
      </c>
      <c r="I7" s="58">
        <v>0.8666666666666667</v>
      </c>
      <c r="J7" s="58">
        <v>0.91</v>
      </c>
      <c r="K7" s="58">
        <v>0.91133333333333344</v>
      </c>
      <c r="L7" s="58">
        <v>0.91</v>
      </c>
      <c r="M7" s="58">
        <v>0.91133333333333344</v>
      </c>
      <c r="N7" s="58">
        <v>0.92066666666666663</v>
      </c>
      <c r="O7" s="58">
        <v>0.92533333333333334</v>
      </c>
      <c r="P7" s="58">
        <v>0.91133333333333344</v>
      </c>
      <c r="Q7" s="58">
        <v>0.91133333333333344</v>
      </c>
      <c r="R7" s="58">
        <v>0.89866666666666661</v>
      </c>
      <c r="S7" s="58">
        <v>0.89266666666666661</v>
      </c>
      <c r="T7" s="58">
        <v>0.90400000000000003</v>
      </c>
      <c r="U7" s="58">
        <v>0.89333333333333331</v>
      </c>
      <c r="V7" s="58">
        <v>0.95933333333333337</v>
      </c>
      <c r="W7" s="58">
        <v>0.95933333333333337</v>
      </c>
      <c r="X7" s="58">
        <v>0.93866666666666665</v>
      </c>
      <c r="Y7" s="58">
        <v>0.93866666666666665</v>
      </c>
      <c r="Z7" s="58">
        <v>0.90133333333333343</v>
      </c>
      <c r="AA7" s="58">
        <v>0.89800000000000002</v>
      </c>
      <c r="AB7" s="58">
        <v>0.92466666666666664</v>
      </c>
      <c r="AC7" s="58">
        <v>0.91400000000000003</v>
      </c>
      <c r="AD7" s="58">
        <v>0.90333333333333332</v>
      </c>
      <c r="AE7" s="58">
        <v>0.89733333333333332</v>
      </c>
      <c r="AF7" s="58">
        <v>0.88133333333333341</v>
      </c>
      <c r="AG7" s="58">
        <v>0.8773333333333333</v>
      </c>
      <c r="AH7" s="58">
        <v>0.90866666666666662</v>
      </c>
      <c r="AI7" s="58">
        <v>0.90733333333333333</v>
      </c>
      <c r="AJ7" s="58">
        <v>0.88200000000000001</v>
      </c>
      <c r="AK7" s="58">
        <v>0.8806666666666666</v>
      </c>
      <c r="AL7" s="58">
        <v>0.92599999999999993</v>
      </c>
      <c r="AM7" s="58">
        <v>0.93200000000000005</v>
      </c>
      <c r="AN7" s="58">
        <v>0.89733333333333332</v>
      </c>
      <c r="AO7" s="58">
        <v>0.88666666666666671</v>
      </c>
      <c r="AP7" s="58">
        <v>0.91333333333333333</v>
      </c>
      <c r="AQ7" s="58">
        <v>0.91400000000000003</v>
      </c>
      <c r="AR7" s="58">
        <v>0.93799999999999994</v>
      </c>
      <c r="AS7" s="58">
        <v>0.93933333333333335</v>
      </c>
      <c r="AT7" s="58">
        <v>0.94866666666666655</v>
      </c>
      <c r="AU7" s="58">
        <v>0.93866666666666665</v>
      </c>
      <c r="AV7" s="58">
        <v>0.91466666666666674</v>
      </c>
      <c r="AW7" s="58">
        <v>0.91533333333333333</v>
      </c>
      <c r="AX7" s="58">
        <v>0.91466666666666674</v>
      </c>
      <c r="AY7" s="58">
        <v>0.91466666666666674</v>
      </c>
      <c r="AZ7" s="58">
        <v>0.93799999999999994</v>
      </c>
      <c r="BA7" s="58">
        <v>0.93666666666666676</v>
      </c>
      <c r="BB7" s="58">
        <v>0.90866666666666662</v>
      </c>
      <c r="BC7" s="58">
        <v>0.90599999999999992</v>
      </c>
      <c r="BD7" s="58">
        <v>0.90200000000000002</v>
      </c>
      <c r="BE7" s="58">
        <v>0.89400000000000002</v>
      </c>
      <c r="BF7" s="58">
        <v>0.92799999999999994</v>
      </c>
      <c r="BG7" s="58">
        <v>0.92666666666666675</v>
      </c>
      <c r="BH7" s="58">
        <v>0.92933333333333334</v>
      </c>
      <c r="BI7" s="58">
        <v>0.91866666666666663</v>
      </c>
      <c r="BJ7" s="58">
        <v>0.94666666666666677</v>
      </c>
      <c r="BK7" s="58">
        <v>0.94400000000000006</v>
      </c>
      <c r="BL7" s="58">
        <v>0.89400000000000002</v>
      </c>
      <c r="BM7" s="58">
        <v>0.90866666666666662</v>
      </c>
      <c r="BN7" s="58">
        <v>0.8859999999999999</v>
      </c>
      <c r="BO7" s="58">
        <v>0.8886666666666666</v>
      </c>
      <c r="BP7" s="60">
        <f t="shared" si="0"/>
        <v>0.91480808080808051</v>
      </c>
      <c r="BQ7" s="60">
        <f t="shared" si="1"/>
        <v>0.91284848484848458</v>
      </c>
      <c r="BR7" s="58"/>
      <c r="BS7" s="34"/>
    </row>
    <row r="8" spans="1:71" ht="30" customHeight="1" x14ac:dyDescent="0.3">
      <c r="A8" s="13" t="s">
        <v>656</v>
      </c>
      <c r="B8" s="58">
        <v>0.69</v>
      </c>
      <c r="C8" s="58">
        <v>0.68</v>
      </c>
      <c r="D8" s="58">
        <v>0.65571428571428569</v>
      </c>
      <c r="E8" s="58">
        <v>0.64714285714285713</v>
      </c>
      <c r="F8" s="58">
        <v>0.73571428571428565</v>
      </c>
      <c r="G8" s="58">
        <v>0.74142857142857144</v>
      </c>
      <c r="H8" s="58">
        <v>0.66428571428571426</v>
      </c>
      <c r="I8" s="58">
        <v>0.66285714285714292</v>
      </c>
      <c r="J8" s="58">
        <v>0.7014285714285714</v>
      </c>
      <c r="K8" s="58">
        <v>0.7014285714285714</v>
      </c>
      <c r="L8" s="58">
        <v>0.7014285714285714</v>
      </c>
      <c r="M8" s="58">
        <v>0.7014285714285714</v>
      </c>
      <c r="N8" s="58">
        <v>0.7014285714285714</v>
      </c>
      <c r="O8" s="58">
        <v>0.7</v>
      </c>
      <c r="P8" s="58">
        <v>0.68142857142857138</v>
      </c>
      <c r="Q8" s="58">
        <v>0.67571428571428571</v>
      </c>
      <c r="R8" s="58">
        <v>0.66714285714285704</v>
      </c>
      <c r="S8" s="58">
        <v>0.66428571428571426</v>
      </c>
      <c r="T8" s="58">
        <v>0.66428571428571426</v>
      </c>
      <c r="U8" s="58">
        <v>0.65428571428571436</v>
      </c>
      <c r="V8" s="58">
        <v>0.71857142857142864</v>
      </c>
      <c r="W8" s="58">
        <v>0.71857142857142864</v>
      </c>
      <c r="X8" s="58">
        <v>0.71714285714285708</v>
      </c>
      <c r="Y8" s="58">
        <v>0.71857142857142864</v>
      </c>
      <c r="Z8" s="58">
        <v>0.72714285714285709</v>
      </c>
      <c r="AA8" s="58">
        <v>0.72714285714285709</v>
      </c>
      <c r="AB8" s="58">
        <v>0.6785714285714286</v>
      </c>
      <c r="AC8" s="58">
        <v>0.66714285714285704</v>
      </c>
      <c r="AD8" s="58">
        <v>0.67285714285714293</v>
      </c>
      <c r="AE8" s="58">
        <v>0.68714285714285706</v>
      </c>
      <c r="AF8" s="58">
        <v>0.67571428571428571</v>
      </c>
      <c r="AG8" s="58">
        <v>0.67285714285714293</v>
      </c>
      <c r="AH8" s="58">
        <v>0.6785714285714286</v>
      </c>
      <c r="AI8" s="58">
        <v>0.68</v>
      </c>
      <c r="AJ8" s="58">
        <v>0.67571428571428571</v>
      </c>
      <c r="AK8" s="58">
        <v>0.6657142857142857</v>
      </c>
      <c r="AL8" s="58">
        <v>0.69714285714285706</v>
      </c>
      <c r="AM8" s="58">
        <v>0.67571428571428571</v>
      </c>
      <c r="AN8" s="58">
        <v>0.69714285714285706</v>
      </c>
      <c r="AO8" s="58">
        <v>0.7</v>
      </c>
      <c r="AP8" s="58">
        <v>0.70857142857142863</v>
      </c>
      <c r="AQ8" s="58">
        <v>0.71</v>
      </c>
      <c r="AR8" s="58">
        <v>0.68285714285714294</v>
      </c>
      <c r="AS8" s="58">
        <v>0.68285714285714294</v>
      </c>
      <c r="AT8" s="58">
        <v>0.70714285714285707</v>
      </c>
      <c r="AU8" s="58">
        <v>0.69571428571428573</v>
      </c>
      <c r="AV8" s="58">
        <v>0.67</v>
      </c>
      <c r="AW8" s="58">
        <v>0.67428571428571427</v>
      </c>
      <c r="AX8" s="58">
        <v>0.7</v>
      </c>
      <c r="AY8" s="58">
        <v>0.69571428571428573</v>
      </c>
      <c r="AZ8" s="58">
        <v>0.68142857142857138</v>
      </c>
      <c r="BA8" s="58">
        <v>0.6785714285714286</v>
      </c>
      <c r="BB8" s="58">
        <v>0.7142857142857143</v>
      </c>
      <c r="BC8" s="58">
        <v>0.69571428571428573</v>
      </c>
      <c r="BD8" s="58">
        <v>0.65142857142857136</v>
      </c>
      <c r="BE8" s="58">
        <v>0.66</v>
      </c>
      <c r="BF8" s="58">
        <v>0.69428571428571428</v>
      </c>
      <c r="BG8" s="58">
        <v>0.69285714285714295</v>
      </c>
      <c r="BH8" s="58">
        <v>0.69714285714285706</v>
      </c>
      <c r="BI8" s="58">
        <v>0.69714285714285706</v>
      </c>
      <c r="BJ8" s="58">
        <v>0.7014285714285714</v>
      </c>
      <c r="BK8" s="58">
        <v>0.69571428571428573</v>
      </c>
      <c r="BL8" s="58">
        <v>0.69857142857142862</v>
      </c>
      <c r="BM8" s="58">
        <v>0.69571428571428573</v>
      </c>
      <c r="BN8" s="58">
        <v>0.70714285714285707</v>
      </c>
      <c r="BO8" s="58">
        <v>0.68857142857142861</v>
      </c>
      <c r="BP8" s="60">
        <f t="shared" si="0"/>
        <v>0.69138528138528155</v>
      </c>
      <c r="BQ8" s="60">
        <f t="shared" si="1"/>
        <v>0.68800865800865785</v>
      </c>
      <c r="BR8" s="58"/>
      <c r="BS8" s="34"/>
    </row>
    <row r="9" spans="1:71" ht="30" customHeight="1" x14ac:dyDescent="0.3">
      <c r="A9" s="13" t="s">
        <v>657</v>
      </c>
      <c r="B9" s="58">
        <v>0.84</v>
      </c>
      <c r="C9" s="58">
        <v>0.83</v>
      </c>
      <c r="D9" s="58">
        <v>0.81625000000000003</v>
      </c>
      <c r="E9" s="58">
        <v>0.82125000000000004</v>
      </c>
      <c r="F9" s="58">
        <v>0.84875</v>
      </c>
      <c r="G9" s="58">
        <v>0.84750000000000003</v>
      </c>
      <c r="H9" s="58">
        <v>0.80874999999999997</v>
      </c>
      <c r="I9" s="58">
        <v>0.81499999999999995</v>
      </c>
      <c r="J9" s="58">
        <v>0.85</v>
      </c>
      <c r="K9" s="58">
        <v>0.85</v>
      </c>
      <c r="L9" s="58">
        <v>0.85</v>
      </c>
      <c r="M9" s="58">
        <v>0.85</v>
      </c>
      <c r="N9" s="58">
        <v>0.85499999999999998</v>
      </c>
      <c r="O9" s="58">
        <v>0.85375000000000001</v>
      </c>
      <c r="P9" s="58">
        <v>0.83</v>
      </c>
      <c r="Q9" s="58">
        <v>0.82874999999999999</v>
      </c>
      <c r="R9" s="58">
        <v>0.82874999999999999</v>
      </c>
      <c r="S9" s="58">
        <v>0.82625000000000004</v>
      </c>
      <c r="T9" s="58">
        <v>0.82</v>
      </c>
      <c r="U9" s="58">
        <v>0.8175</v>
      </c>
      <c r="V9" s="58">
        <v>0.84</v>
      </c>
      <c r="W9" s="58">
        <v>0.83625000000000005</v>
      </c>
      <c r="X9" s="58">
        <v>0.85124999999999995</v>
      </c>
      <c r="Y9" s="58">
        <v>0.84125000000000005</v>
      </c>
      <c r="Z9" s="58">
        <v>0.8175</v>
      </c>
      <c r="AA9" s="58">
        <v>0.82250000000000001</v>
      </c>
      <c r="AB9" s="58">
        <v>0.83499999999999996</v>
      </c>
      <c r="AC9" s="58">
        <v>0.83374999999999999</v>
      </c>
      <c r="AD9" s="58">
        <v>0.83250000000000002</v>
      </c>
      <c r="AE9" s="58">
        <v>0.82874999999999999</v>
      </c>
      <c r="AF9" s="58">
        <v>0.79249999999999998</v>
      </c>
      <c r="AG9" s="58">
        <v>0.79500000000000004</v>
      </c>
      <c r="AH9" s="58">
        <v>0.8075</v>
      </c>
      <c r="AI9" s="58">
        <v>0.80249999999999999</v>
      </c>
      <c r="AJ9" s="58">
        <v>0.79249999999999998</v>
      </c>
      <c r="AK9" s="58">
        <v>0.79374999999999996</v>
      </c>
      <c r="AL9" s="58">
        <v>0.85</v>
      </c>
      <c r="AM9" s="58">
        <v>0.84875</v>
      </c>
      <c r="AN9" s="58">
        <v>0.83</v>
      </c>
      <c r="AO9" s="58">
        <v>0.83250000000000002</v>
      </c>
      <c r="AP9" s="58">
        <v>0.81499999999999995</v>
      </c>
      <c r="AQ9" s="58">
        <v>0.81874999999999998</v>
      </c>
      <c r="AR9" s="58">
        <v>0.82874999999999999</v>
      </c>
      <c r="AS9" s="58">
        <v>0.82750000000000001</v>
      </c>
      <c r="AT9" s="58">
        <v>0.83374999999999999</v>
      </c>
      <c r="AU9" s="58">
        <v>0.83499999999999996</v>
      </c>
      <c r="AV9" s="58">
        <v>0.83750000000000002</v>
      </c>
      <c r="AW9" s="58">
        <v>0.84</v>
      </c>
      <c r="AX9" s="58">
        <v>0.84125000000000005</v>
      </c>
      <c r="AY9" s="58">
        <v>0.84624999999999995</v>
      </c>
      <c r="AZ9" s="58">
        <v>0.83</v>
      </c>
      <c r="BA9" s="58">
        <v>0.83125000000000004</v>
      </c>
      <c r="BB9" s="58">
        <v>0.81374999999999997</v>
      </c>
      <c r="BC9" s="58">
        <v>0.80874999999999997</v>
      </c>
      <c r="BD9" s="58">
        <v>0.8175</v>
      </c>
      <c r="BE9" s="58">
        <v>0.81499999999999995</v>
      </c>
      <c r="BF9" s="58">
        <v>0.82499999999999996</v>
      </c>
      <c r="BG9" s="58">
        <v>0.82125000000000004</v>
      </c>
      <c r="BH9" s="58">
        <v>0.82125000000000004</v>
      </c>
      <c r="BI9" s="58">
        <v>0.82</v>
      </c>
      <c r="BJ9" s="58">
        <v>0.79249999999999998</v>
      </c>
      <c r="BK9" s="58">
        <v>0.79125000000000001</v>
      </c>
      <c r="BL9" s="58">
        <v>0.79874999999999996</v>
      </c>
      <c r="BM9" s="58">
        <v>0.80625000000000002</v>
      </c>
      <c r="BN9" s="58">
        <v>0.82</v>
      </c>
      <c r="BO9" s="58">
        <v>0.81874999999999998</v>
      </c>
      <c r="BP9" s="60">
        <f t="shared" si="0"/>
        <v>0.82640151515151483</v>
      </c>
      <c r="BQ9" s="60">
        <f t="shared" si="1"/>
        <v>0.82590909090909115</v>
      </c>
      <c r="BR9" s="58"/>
      <c r="BS9" s="34"/>
    </row>
    <row r="10" spans="1:71" ht="30" customHeight="1" x14ac:dyDescent="0.3">
      <c r="A10" s="13" t="s">
        <v>658</v>
      </c>
      <c r="B10" s="58">
        <v>0.39</v>
      </c>
      <c r="C10" s="58">
        <v>0.4</v>
      </c>
      <c r="D10" s="58">
        <v>0.47888888888888892</v>
      </c>
      <c r="E10" s="58">
        <v>0.4777777777777778</v>
      </c>
      <c r="F10" s="58">
        <v>0.43</v>
      </c>
      <c r="G10" s="58">
        <v>0.43444444444444441</v>
      </c>
      <c r="H10" s="58">
        <v>0.45</v>
      </c>
      <c r="I10" s="58">
        <v>0.45444444444444437</v>
      </c>
      <c r="J10" s="58">
        <v>0.46666666666666662</v>
      </c>
      <c r="K10" s="58">
        <v>0.4622222222222222</v>
      </c>
      <c r="L10" s="58">
        <v>0.46666666666666662</v>
      </c>
      <c r="M10" s="58">
        <v>0.4622222222222222</v>
      </c>
      <c r="N10" s="58">
        <v>0.41888888888888892</v>
      </c>
      <c r="O10" s="58">
        <v>0.4244444444444444</v>
      </c>
      <c r="P10" s="58">
        <v>0.44888888888888878</v>
      </c>
      <c r="Q10" s="58">
        <v>0.44888888888888878</v>
      </c>
      <c r="R10" s="58">
        <v>0.53333333333333333</v>
      </c>
      <c r="S10" s="58">
        <v>0.53111111111111109</v>
      </c>
      <c r="T10" s="58">
        <v>0.46666666666666662</v>
      </c>
      <c r="U10" s="58">
        <v>0.44888888888888878</v>
      </c>
      <c r="V10" s="58">
        <v>0.59222222222222221</v>
      </c>
      <c r="W10" s="58">
        <v>0.58888888888888891</v>
      </c>
      <c r="X10" s="58">
        <v>0.48777777777777781</v>
      </c>
      <c r="Y10" s="58">
        <v>0.48333333333333328</v>
      </c>
      <c r="Z10" s="58">
        <v>0.4022222222222222</v>
      </c>
      <c r="AA10" s="58">
        <v>0.40777777777777779</v>
      </c>
      <c r="AB10" s="58">
        <v>0.5411111111111111</v>
      </c>
      <c r="AC10" s="58">
        <v>0.52555555555555555</v>
      </c>
      <c r="AD10" s="58">
        <v>0.40777777777777779</v>
      </c>
      <c r="AE10" s="58">
        <v>0.40333333333333338</v>
      </c>
      <c r="AF10" s="58">
        <v>0.47888888888888892</v>
      </c>
      <c r="AG10" s="58">
        <v>0.48555555555555557</v>
      </c>
      <c r="AH10" s="58">
        <v>0.4244444444444444</v>
      </c>
      <c r="AI10" s="58">
        <v>0.42555555555555558</v>
      </c>
      <c r="AJ10" s="58">
        <v>0.44222222222222218</v>
      </c>
      <c r="AK10" s="58">
        <v>0.45777777777777778</v>
      </c>
      <c r="AL10" s="58">
        <v>0.44111111111111112</v>
      </c>
      <c r="AM10" s="58">
        <v>0.43444444444444441</v>
      </c>
      <c r="AN10" s="58">
        <v>0.4177777777777778</v>
      </c>
      <c r="AO10" s="58">
        <v>0.42222222222222222</v>
      </c>
      <c r="AP10" s="58">
        <v>0.4022222222222222</v>
      </c>
      <c r="AQ10" s="58">
        <v>0.41333333333333327</v>
      </c>
      <c r="AR10" s="58">
        <v>0.51222222222222225</v>
      </c>
      <c r="AS10" s="58">
        <v>0.49777777777777782</v>
      </c>
      <c r="AT10" s="58">
        <v>0.49333333333333329</v>
      </c>
      <c r="AU10" s="58">
        <v>0.48</v>
      </c>
      <c r="AV10" s="58">
        <v>0.45777777777777778</v>
      </c>
      <c r="AW10" s="58">
        <v>0.46777777777777779</v>
      </c>
      <c r="AX10" s="58">
        <v>0.4777777777777778</v>
      </c>
      <c r="AY10" s="58">
        <v>0.48222222222222222</v>
      </c>
      <c r="AZ10" s="58">
        <v>0.48222222222222222</v>
      </c>
      <c r="BA10" s="58">
        <v>0.48555555555555557</v>
      </c>
      <c r="BB10" s="58">
        <v>0.44111111111111112</v>
      </c>
      <c r="BC10" s="58">
        <v>0.42666666666666658</v>
      </c>
      <c r="BD10" s="58">
        <v>0.46333333333333337</v>
      </c>
      <c r="BE10" s="58">
        <v>0.46444444444444438</v>
      </c>
      <c r="BF10" s="58">
        <v>0.44222222222222218</v>
      </c>
      <c r="BG10" s="58">
        <v>0.44444444444444442</v>
      </c>
      <c r="BH10" s="58">
        <v>0.42111111111111121</v>
      </c>
      <c r="BI10" s="58">
        <v>0.42555555555555558</v>
      </c>
      <c r="BJ10" s="58">
        <v>0.42555555555555558</v>
      </c>
      <c r="BK10" s="58">
        <v>0.42888888888888888</v>
      </c>
      <c r="BL10" s="58">
        <v>0.39333333333333342</v>
      </c>
      <c r="BM10" s="58">
        <v>0.42111111111111121</v>
      </c>
      <c r="BN10" s="58">
        <v>0.44888888888888878</v>
      </c>
      <c r="BO10" s="58">
        <v>0.43444444444444441</v>
      </c>
      <c r="BP10" s="60">
        <f t="shared" si="0"/>
        <v>0.45595959595959601</v>
      </c>
      <c r="BQ10" s="60">
        <f t="shared" si="1"/>
        <v>0.45609427609427611</v>
      </c>
      <c r="BR10" s="58"/>
      <c r="BS10" s="34"/>
    </row>
    <row r="11" spans="1:71" ht="30" customHeight="1" x14ac:dyDescent="0.3">
      <c r="A11" s="13" t="s">
        <v>659</v>
      </c>
      <c r="B11" s="58">
        <v>0.73</v>
      </c>
      <c r="C11" s="58">
        <v>0.72</v>
      </c>
      <c r="D11" s="58">
        <v>0.72150000000000003</v>
      </c>
      <c r="E11" s="58">
        <v>0.71750000000000003</v>
      </c>
      <c r="F11" s="58">
        <v>0.71700000000000008</v>
      </c>
      <c r="G11" s="58">
        <v>0.71349999999999991</v>
      </c>
      <c r="H11" s="58">
        <v>0.70700000000000007</v>
      </c>
      <c r="I11" s="58">
        <v>0.70250000000000001</v>
      </c>
      <c r="J11" s="58">
        <v>0.68049999999999999</v>
      </c>
      <c r="K11" s="58">
        <v>0.6765000000000001</v>
      </c>
      <c r="L11" s="58">
        <v>0.68049999999999999</v>
      </c>
      <c r="M11" s="58">
        <v>0.6765000000000001</v>
      </c>
      <c r="N11" s="58">
        <v>0.71849999999999992</v>
      </c>
      <c r="O11" s="58">
        <v>0.71700000000000008</v>
      </c>
      <c r="P11" s="58">
        <v>0.70750000000000002</v>
      </c>
      <c r="Q11" s="58">
        <v>0.71250000000000002</v>
      </c>
      <c r="R11" s="58">
        <v>0.71900000000000008</v>
      </c>
      <c r="S11" s="58">
        <v>0.71299999999999997</v>
      </c>
      <c r="T11" s="58">
        <v>0.71299999999999997</v>
      </c>
      <c r="U11" s="58">
        <v>0.69750000000000001</v>
      </c>
      <c r="V11" s="58">
        <v>0.73049999999999993</v>
      </c>
      <c r="W11" s="58">
        <v>0.72900000000000009</v>
      </c>
      <c r="X11" s="58">
        <v>0.72250000000000003</v>
      </c>
      <c r="Y11" s="58">
        <v>0.71200000000000008</v>
      </c>
      <c r="Z11" s="58">
        <v>0.70150000000000001</v>
      </c>
      <c r="AA11" s="58">
        <v>0.69</v>
      </c>
      <c r="AB11" s="58">
        <v>0.67799999999999994</v>
      </c>
      <c r="AC11" s="58">
        <v>0.66700000000000004</v>
      </c>
      <c r="AD11" s="58">
        <v>0.7390000000000001</v>
      </c>
      <c r="AE11" s="58">
        <v>0.73</v>
      </c>
      <c r="AF11" s="58">
        <v>0.71250000000000002</v>
      </c>
      <c r="AG11" s="58">
        <v>0.71599999999999997</v>
      </c>
      <c r="AH11" s="58">
        <v>0.73799999999999999</v>
      </c>
      <c r="AI11" s="58">
        <v>0.72400000000000009</v>
      </c>
      <c r="AJ11" s="58">
        <v>0.69900000000000007</v>
      </c>
      <c r="AK11" s="58">
        <v>0.69450000000000001</v>
      </c>
      <c r="AL11" s="58">
        <v>0.72400000000000009</v>
      </c>
      <c r="AM11" s="58">
        <v>0.71</v>
      </c>
      <c r="AN11" s="58">
        <v>0.71700000000000008</v>
      </c>
      <c r="AO11" s="58">
        <v>0.71599999999999997</v>
      </c>
      <c r="AP11" s="58">
        <v>0.71050000000000002</v>
      </c>
      <c r="AQ11" s="58">
        <v>0.69299999999999995</v>
      </c>
      <c r="AR11" s="58">
        <v>0.70599999999999996</v>
      </c>
      <c r="AS11" s="58">
        <v>0.70599999999999996</v>
      </c>
      <c r="AT11" s="58">
        <v>0.74</v>
      </c>
      <c r="AU11" s="58">
        <v>0.7390000000000001</v>
      </c>
      <c r="AV11" s="58">
        <v>0.72049999999999992</v>
      </c>
      <c r="AW11" s="58">
        <v>0.72349999999999992</v>
      </c>
      <c r="AX11" s="58">
        <v>0.69700000000000006</v>
      </c>
      <c r="AY11" s="58">
        <v>0.69299999999999995</v>
      </c>
      <c r="AZ11" s="58">
        <v>0.71450000000000002</v>
      </c>
      <c r="BA11" s="58">
        <v>0.71299999999999997</v>
      </c>
      <c r="BB11" s="58">
        <v>0.71250000000000002</v>
      </c>
      <c r="BC11" s="58">
        <v>0.69650000000000001</v>
      </c>
      <c r="BD11" s="58">
        <v>0.72349999999999992</v>
      </c>
      <c r="BE11" s="58">
        <v>0.72349999999999992</v>
      </c>
      <c r="BF11" s="58">
        <v>0.74349999999999994</v>
      </c>
      <c r="BG11" s="58">
        <v>0.73150000000000004</v>
      </c>
      <c r="BH11" s="58">
        <v>0.71250000000000002</v>
      </c>
      <c r="BI11" s="58">
        <v>0.70950000000000002</v>
      </c>
      <c r="BJ11" s="58">
        <v>0.70900000000000007</v>
      </c>
      <c r="BK11" s="58">
        <v>0.7</v>
      </c>
      <c r="BL11" s="58">
        <v>0.71950000000000003</v>
      </c>
      <c r="BM11" s="58">
        <v>0.70200000000000007</v>
      </c>
      <c r="BN11" s="58">
        <v>0.72150000000000003</v>
      </c>
      <c r="BO11" s="58">
        <v>0.71550000000000002</v>
      </c>
      <c r="BP11" s="60">
        <f t="shared" si="0"/>
        <v>0.7147575757575757</v>
      </c>
      <c r="BQ11" s="60">
        <f t="shared" si="1"/>
        <v>0.70851515151515165</v>
      </c>
      <c r="BR11" s="58"/>
      <c r="BS11" s="34"/>
    </row>
    <row r="12" spans="1:71" ht="30" customHeight="1" x14ac:dyDescent="0.3">
      <c r="A12" s="13" t="s">
        <v>660</v>
      </c>
      <c r="B12" s="58">
        <v>0.48</v>
      </c>
      <c r="C12" s="58">
        <v>0.48</v>
      </c>
      <c r="D12" s="58">
        <v>0.48</v>
      </c>
      <c r="E12" s="58">
        <v>0.48</v>
      </c>
      <c r="F12" s="58">
        <v>0.54</v>
      </c>
      <c r="G12" s="58">
        <v>0.53</v>
      </c>
      <c r="H12" s="58">
        <v>0.47</v>
      </c>
      <c r="I12" s="58">
        <v>0.47</v>
      </c>
      <c r="J12" s="58">
        <v>0.51</v>
      </c>
      <c r="K12" s="58">
        <v>0.51</v>
      </c>
      <c r="L12" s="58">
        <v>0.51</v>
      </c>
      <c r="M12" s="58">
        <v>0.51</v>
      </c>
      <c r="N12" s="58">
        <v>0.49</v>
      </c>
      <c r="O12" s="58">
        <v>0.49</v>
      </c>
      <c r="P12" s="58">
        <v>0.5</v>
      </c>
      <c r="Q12" s="58">
        <v>0.5</v>
      </c>
      <c r="R12" s="58">
        <v>0.5</v>
      </c>
      <c r="S12" s="58">
        <v>0.5</v>
      </c>
      <c r="T12" s="58">
        <v>0.47</v>
      </c>
      <c r="U12" s="58">
        <v>0.45</v>
      </c>
      <c r="V12" s="58">
        <v>0.56000000000000005</v>
      </c>
      <c r="W12" s="58">
        <v>0.56000000000000005</v>
      </c>
      <c r="X12" s="58">
        <v>0.5</v>
      </c>
      <c r="Y12" s="58">
        <v>0.49</v>
      </c>
      <c r="Z12" s="58">
        <v>0.5</v>
      </c>
      <c r="AA12" s="58">
        <v>0.51</v>
      </c>
      <c r="AB12" s="58">
        <v>0.49</v>
      </c>
      <c r="AC12" s="58">
        <v>0.48</v>
      </c>
      <c r="AD12" s="58">
        <v>0.48</v>
      </c>
      <c r="AE12" s="58">
        <v>0.49</v>
      </c>
      <c r="AF12" s="58">
        <v>0.49</v>
      </c>
      <c r="AG12" s="58">
        <v>0.48</v>
      </c>
      <c r="AH12" s="58">
        <v>0.52</v>
      </c>
      <c r="AI12" s="58">
        <v>0.51</v>
      </c>
      <c r="AJ12" s="58">
        <v>0.49</v>
      </c>
      <c r="AK12" s="58">
        <v>0.49</v>
      </c>
      <c r="AL12" s="58">
        <v>0.5</v>
      </c>
      <c r="AM12" s="58">
        <v>0.51</v>
      </c>
      <c r="AN12" s="58">
        <v>0.49</v>
      </c>
      <c r="AO12" s="58">
        <v>0.5</v>
      </c>
      <c r="AP12" s="58">
        <v>0.47</v>
      </c>
      <c r="AQ12" s="58">
        <v>0.46</v>
      </c>
      <c r="AR12" s="58">
        <v>0.53</v>
      </c>
      <c r="AS12" s="58">
        <v>0.52</v>
      </c>
      <c r="AT12" s="58">
        <v>0.51</v>
      </c>
      <c r="AU12" s="58">
        <v>0.51</v>
      </c>
      <c r="AV12" s="58">
        <v>0.51</v>
      </c>
      <c r="AW12" s="58">
        <v>0.52</v>
      </c>
      <c r="AX12" s="58">
        <v>0.49</v>
      </c>
      <c r="AY12" s="58">
        <v>0.49</v>
      </c>
      <c r="AZ12" s="58">
        <v>0.49</v>
      </c>
      <c r="BA12" s="58">
        <v>0.49</v>
      </c>
      <c r="BB12" s="58">
        <v>0.5</v>
      </c>
      <c r="BC12" s="58">
        <v>0.48</v>
      </c>
      <c r="BD12" s="58">
        <v>0.49</v>
      </c>
      <c r="BE12" s="58">
        <v>0.48</v>
      </c>
      <c r="BF12" s="58">
        <v>0.53</v>
      </c>
      <c r="BG12" s="58">
        <v>0.53</v>
      </c>
      <c r="BH12" s="58">
        <v>0.49</v>
      </c>
      <c r="BI12" s="58">
        <v>0.48</v>
      </c>
      <c r="BJ12" s="58">
        <v>0.53</v>
      </c>
      <c r="BK12" s="58">
        <v>0.52</v>
      </c>
      <c r="BL12" s="58">
        <v>0.5</v>
      </c>
      <c r="BM12" s="58">
        <v>0.49</v>
      </c>
      <c r="BN12" s="58">
        <v>0.55000000000000004</v>
      </c>
      <c r="BO12" s="58">
        <v>0.55000000000000004</v>
      </c>
      <c r="BP12" s="60">
        <f t="shared" si="0"/>
        <v>0.50181818181818183</v>
      </c>
      <c r="BQ12" s="60">
        <f t="shared" si="1"/>
        <v>0.49878787878787884</v>
      </c>
      <c r="BR12" s="58"/>
      <c r="BS12" s="34"/>
    </row>
    <row r="13" spans="1:71" ht="30" customHeight="1" x14ac:dyDescent="0.3">
      <c r="A13" s="13" t="s">
        <v>661</v>
      </c>
      <c r="B13" s="58">
        <v>0.57999999999999996</v>
      </c>
      <c r="C13" s="58">
        <v>0.57999999999999996</v>
      </c>
      <c r="D13" s="58">
        <v>0.56999999999999995</v>
      </c>
      <c r="E13" s="58">
        <v>0.56999999999999995</v>
      </c>
      <c r="F13" s="58">
        <v>0.56999999999999995</v>
      </c>
      <c r="G13" s="58">
        <v>0.56999999999999995</v>
      </c>
      <c r="H13" s="58">
        <v>0.56999999999999995</v>
      </c>
      <c r="I13" s="58">
        <v>0.56000000000000005</v>
      </c>
      <c r="J13" s="58">
        <v>0.6</v>
      </c>
      <c r="K13" s="58">
        <v>0.6</v>
      </c>
      <c r="L13" s="58">
        <v>0.6</v>
      </c>
      <c r="M13" s="58">
        <v>0.6</v>
      </c>
      <c r="N13" s="58">
        <v>0.6</v>
      </c>
      <c r="O13" s="58">
        <v>0.6</v>
      </c>
      <c r="P13" s="58">
        <v>0.59</v>
      </c>
      <c r="Q13" s="58">
        <v>0.59</v>
      </c>
      <c r="R13" s="58">
        <v>0.56000000000000005</v>
      </c>
      <c r="S13" s="58">
        <v>0.56000000000000005</v>
      </c>
      <c r="T13" s="58">
        <v>0.59</v>
      </c>
      <c r="U13" s="58">
        <v>0.56999999999999995</v>
      </c>
      <c r="V13" s="58">
        <v>0.56999999999999995</v>
      </c>
      <c r="W13" s="58">
        <v>0.56999999999999995</v>
      </c>
      <c r="X13" s="58">
        <v>0.63</v>
      </c>
      <c r="Y13" s="58">
        <v>0.62</v>
      </c>
      <c r="Z13" s="58">
        <v>0.6</v>
      </c>
      <c r="AA13" s="58">
        <v>0.6</v>
      </c>
      <c r="AB13" s="58">
        <v>0.59</v>
      </c>
      <c r="AC13" s="58">
        <v>0.57999999999999996</v>
      </c>
      <c r="AD13" s="58">
        <v>0.57999999999999996</v>
      </c>
      <c r="AE13" s="58">
        <v>0.56000000000000005</v>
      </c>
      <c r="AF13" s="58">
        <v>0.6</v>
      </c>
      <c r="AG13" s="58">
        <v>0.6</v>
      </c>
      <c r="AH13" s="58">
        <v>0.57999999999999996</v>
      </c>
      <c r="AI13" s="58">
        <v>0.57999999999999996</v>
      </c>
      <c r="AJ13" s="58">
        <v>0.56000000000000005</v>
      </c>
      <c r="AK13" s="58">
        <v>0.56000000000000005</v>
      </c>
      <c r="AL13" s="58">
        <v>0.57999999999999996</v>
      </c>
      <c r="AM13" s="58">
        <v>0.57999999999999996</v>
      </c>
      <c r="AN13" s="58">
        <v>0.56999999999999995</v>
      </c>
      <c r="AO13" s="58">
        <v>0.56000000000000005</v>
      </c>
      <c r="AP13" s="58">
        <v>0.55000000000000004</v>
      </c>
      <c r="AQ13" s="58">
        <v>0.55000000000000004</v>
      </c>
      <c r="AR13" s="58">
        <v>0.57999999999999996</v>
      </c>
      <c r="AS13" s="58">
        <v>0.57999999999999996</v>
      </c>
      <c r="AT13" s="58">
        <v>0.61</v>
      </c>
      <c r="AU13" s="58">
        <v>0.61</v>
      </c>
      <c r="AV13" s="58">
        <v>0.6</v>
      </c>
      <c r="AW13" s="58">
        <v>0.6</v>
      </c>
      <c r="AX13" s="58">
        <v>0.61</v>
      </c>
      <c r="AY13" s="58">
        <v>0.61</v>
      </c>
      <c r="AZ13" s="58">
        <v>0.57999999999999996</v>
      </c>
      <c r="BA13" s="58">
        <v>0.57999999999999996</v>
      </c>
      <c r="BB13" s="58">
        <v>0.59</v>
      </c>
      <c r="BC13" s="58">
        <v>0.57999999999999996</v>
      </c>
      <c r="BD13" s="58">
        <v>0.57999999999999996</v>
      </c>
      <c r="BE13" s="58">
        <v>0.57999999999999996</v>
      </c>
      <c r="BF13" s="58">
        <v>0.56999999999999995</v>
      </c>
      <c r="BG13" s="58">
        <v>0.55000000000000004</v>
      </c>
      <c r="BH13" s="58">
        <v>0.56999999999999995</v>
      </c>
      <c r="BI13" s="58">
        <v>0.56999999999999995</v>
      </c>
      <c r="BJ13" s="58">
        <v>0.57999999999999996</v>
      </c>
      <c r="BK13" s="58">
        <v>0.57999999999999996</v>
      </c>
      <c r="BL13" s="58">
        <v>0.57999999999999996</v>
      </c>
      <c r="BM13" s="58">
        <v>0.57999999999999996</v>
      </c>
      <c r="BN13" s="58">
        <v>0.59</v>
      </c>
      <c r="BO13" s="58">
        <v>0.59</v>
      </c>
      <c r="BP13" s="60">
        <f t="shared" si="0"/>
        <v>0.58424242424242412</v>
      </c>
      <c r="BQ13" s="60">
        <f t="shared" si="1"/>
        <v>0.58090909090909082</v>
      </c>
      <c r="BR13" s="58"/>
      <c r="BS13" s="34"/>
    </row>
  </sheetData>
  <mergeCells count="40">
    <mergeCell ref="A1:BS1"/>
    <mergeCell ref="A2:BS2"/>
    <mergeCell ref="A3:A4"/>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P3:BP4"/>
    <mergeCell ref="BQ3:BQ4"/>
    <mergeCell ref="BR3:BR4"/>
    <mergeCell ref="BS3:BS4"/>
    <mergeCell ref="BF3:BG3"/>
    <mergeCell ref="BH3:BI3"/>
    <mergeCell ref="BJ3:BK3"/>
    <mergeCell ref="BL3:BM3"/>
    <mergeCell ref="BN3:BO3"/>
  </mergeCells>
  <conditionalFormatting sqref="C5:C9 AM5:AM13 C11:C13">
    <cfRule type="cellIs" dxfId="174" priority="6" operator="greaterThan">
      <formula>B5</formula>
    </cfRule>
  </conditionalFormatting>
  <conditionalFormatting sqref="E5:E13">
    <cfRule type="cellIs" dxfId="173" priority="7" operator="greaterThan">
      <formula>D5</formula>
    </cfRule>
  </conditionalFormatting>
  <conditionalFormatting sqref="G5:G13">
    <cfRule type="cellIs" dxfId="172" priority="8" operator="greaterThan">
      <formula>F5</formula>
    </cfRule>
  </conditionalFormatting>
  <conditionalFormatting sqref="I5:I13">
    <cfRule type="cellIs" dxfId="171" priority="9" operator="greaterThan">
      <formula>H5</formula>
    </cfRule>
  </conditionalFormatting>
  <conditionalFormatting sqref="K5:K13">
    <cfRule type="cellIs" dxfId="170" priority="10" operator="greaterThan">
      <formula>J5</formula>
    </cfRule>
  </conditionalFormatting>
  <conditionalFormatting sqref="M5:M13">
    <cfRule type="cellIs" dxfId="169" priority="11" operator="greaterThan">
      <formula>L5</formula>
    </cfRule>
  </conditionalFormatting>
  <conditionalFormatting sqref="O5:O13">
    <cfRule type="cellIs" dxfId="168" priority="12" operator="greaterThan">
      <formula>N5</formula>
    </cfRule>
  </conditionalFormatting>
  <conditionalFormatting sqref="Q5:Q13">
    <cfRule type="cellIs" dxfId="167" priority="13" operator="greaterThan">
      <formula>P5</formula>
    </cfRule>
  </conditionalFormatting>
  <conditionalFormatting sqref="S5:S13">
    <cfRule type="cellIs" dxfId="166" priority="14" operator="greaterThan">
      <formula>R5</formula>
    </cfRule>
  </conditionalFormatting>
  <conditionalFormatting sqref="U5:U13">
    <cfRule type="cellIs" dxfId="165" priority="4" operator="greaterThan">
      <formula>T5</formula>
    </cfRule>
  </conditionalFormatting>
  <conditionalFormatting sqref="W5:W13">
    <cfRule type="cellIs" dxfId="164" priority="5" operator="greaterThan">
      <formula>V5</formula>
    </cfRule>
  </conditionalFormatting>
  <conditionalFormatting sqref="Y5:Y13">
    <cfRule type="cellIs" dxfId="163" priority="3" operator="greaterThan">
      <formula>X5</formula>
    </cfRule>
  </conditionalFormatting>
  <conditionalFormatting sqref="AA5:AA13">
    <cfRule type="cellIs" dxfId="162" priority="18" operator="greaterThan">
      <formula>Z5</formula>
    </cfRule>
  </conditionalFormatting>
  <conditionalFormatting sqref="AC5:AC13">
    <cfRule type="cellIs" dxfId="161" priority="19" operator="greaterThan">
      <formula>AB5</formula>
    </cfRule>
  </conditionalFormatting>
  <conditionalFormatting sqref="AE5:AE13">
    <cfRule type="cellIs" dxfId="160" priority="20" operator="greaterThan">
      <formula>AD5</formula>
    </cfRule>
  </conditionalFormatting>
  <conditionalFormatting sqref="AG5:AG13">
    <cfRule type="cellIs" dxfId="159" priority="21" operator="greaterThan">
      <formula>AF5</formula>
    </cfRule>
  </conditionalFormatting>
  <conditionalFormatting sqref="AI5:AI13">
    <cfRule type="cellIs" dxfId="158" priority="22" operator="greaterThan">
      <formula>AH5</formula>
    </cfRule>
  </conditionalFormatting>
  <conditionalFormatting sqref="AK5:AK13">
    <cfRule type="cellIs" dxfId="157" priority="23" operator="greaterThan">
      <formula>AJ5</formula>
    </cfRule>
  </conditionalFormatting>
  <conditionalFormatting sqref="AO5:AO13">
    <cfRule type="cellIs" dxfId="156" priority="1" operator="greaterThan">
      <formula>AN5</formula>
    </cfRule>
  </conditionalFormatting>
  <conditionalFormatting sqref="AQ5:AQ13">
    <cfRule type="cellIs" dxfId="155" priority="24" operator="greaterThan">
      <formula>AP5</formula>
    </cfRule>
  </conditionalFormatting>
  <conditionalFormatting sqref="AS5:AS13">
    <cfRule type="cellIs" dxfId="154" priority="25" operator="greaterThan">
      <formula>AR5</formula>
    </cfRule>
  </conditionalFormatting>
  <conditionalFormatting sqref="AU5:AU13">
    <cfRule type="cellIs" dxfId="153" priority="26" operator="greaterThan">
      <formula>AT5</formula>
    </cfRule>
  </conditionalFormatting>
  <conditionalFormatting sqref="AW5:AW13">
    <cfRule type="cellIs" dxfId="152" priority="27" operator="greaterThan">
      <formula>AV5</formula>
    </cfRule>
  </conditionalFormatting>
  <conditionalFormatting sqref="AY5:AY13">
    <cfRule type="cellIs" dxfId="151" priority="28" operator="greaterThan">
      <formula>AX5</formula>
    </cfRule>
  </conditionalFormatting>
  <conditionalFormatting sqref="BA5:BA13">
    <cfRule type="cellIs" dxfId="150" priority="29" operator="greaterThan">
      <formula>AZ5</formula>
    </cfRule>
  </conditionalFormatting>
  <conditionalFormatting sqref="BC5:BC13">
    <cfRule type="cellIs" dxfId="149" priority="30" operator="greaterThan">
      <formula>BB5</formula>
    </cfRule>
  </conditionalFormatting>
  <conditionalFormatting sqref="BE5:BE13">
    <cfRule type="cellIs" dxfId="148" priority="31" operator="greaterThan">
      <formula>BD5</formula>
    </cfRule>
  </conditionalFormatting>
  <conditionalFormatting sqref="BG5:BG13">
    <cfRule type="cellIs" dxfId="147" priority="32" operator="greaterThan">
      <formula>BF5</formula>
    </cfRule>
  </conditionalFormatting>
  <conditionalFormatting sqref="BI5:BI13">
    <cfRule type="cellIs" dxfId="146" priority="33" operator="greaterThan">
      <formula>BH5</formula>
    </cfRule>
  </conditionalFormatting>
  <conditionalFormatting sqref="BK5:BK13">
    <cfRule type="cellIs" dxfId="145" priority="34" operator="greaterThan">
      <formula>BJ5</formula>
    </cfRule>
  </conditionalFormatting>
  <conditionalFormatting sqref="BM5:BM13">
    <cfRule type="cellIs" dxfId="144" priority="35" operator="greaterThan">
      <formula>BL5</formula>
    </cfRule>
  </conditionalFormatting>
  <conditionalFormatting sqref="BO5:BO13">
    <cfRule type="cellIs" dxfId="143" priority="36" operator="greaterThan">
      <formula>BN5</formula>
    </cfRule>
  </conditionalFormatting>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499984740745262"/>
  </sheetPr>
  <dimension ref="A1:BS11"/>
  <sheetViews>
    <sheetView showGridLines="0" zoomScaleNormal="100" workbookViewId="0">
      <selection activeCell="E13" sqref="E13"/>
    </sheetView>
  </sheetViews>
  <sheetFormatPr defaultColWidth="8.6640625" defaultRowHeight="15.6" x14ac:dyDescent="0.3"/>
  <cols>
    <col min="1" max="1" width="42" style="11" customWidth="1"/>
    <col min="2" max="67" width="8" style="11" customWidth="1"/>
    <col min="68" max="69" width="13" style="11" customWidth="1"/>
    <col min="70" max="70" width="11" style="11" customWidth="1"/>
    <col min="71" max="71" width="45" style="11" customWidth="1"/>
    <col min="72" max="16384" width="8.6640625" style="11"/>
  </cols>
  <sheetData>
    <row r="1" spans="1:71" ht="25.5" customHeight="1" x14ac:dyDescent="0.3">
      <c r="A1" s="99" t="s">
        <v>794</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row>
    <row r="2" spans="1:71" x14ac:dyDescent="0.3">
      <c r="A2" s="80" t="s">
        <v>645</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row>
    <row r="3" spans="1:71" ht="30" customHeight="1" x14ac:dyDescent="0.3">
      <c r="A3" s="98" t="s">
        <v>646</v>
      </c>
      <c r="B3" s="98" t="str">
        <f>Districts_Setup!$B$4</f>
        <v>Ahmedabad</v>
      </c>
      <c r="C3" s="98"/>
      <c r="D3" s="98" t="str">
        <f>Districts_Setup!$B$5</f>
        <v>Amreli</v>
      </c>
      <c r="E3" s="98"/>
      <c r="F3" s="98" t="str">
        <f>Districts_Setup!$B$6</f>
        <v>Anand</v>
      </c>
      <c r="G3" s="98"/>
      <c r="H3" s="98" t="str">
        <f>Districts_Setup!$B$7</f>
        <v>Aravalli</v>
      </c>
      <c r="I3" s="98"/>
      <c r="J3" s="98" t="str">
        <f>Districts_Setup!$B$8</f>
        <v>Banaskantha</v>
      </c>
      <c r="K3" s="98"/>
      <c r="L3" s="98" t="str">
        <f>Districts_Setup!$B$9</f>
        <v>Bharuch</v>
      </c>
      <c r="M3" s="98"/>
      <c r="N3" s="98" t="str">
        <f>Districts_Setup!$B$10</f>
        <v>Bhavnagar</v>
      </c>
      <c r="O3" s="98"/>
      <c r="P3" s="98" t="str">
        <f>Districts_Setup!$B$11</f>
        <v>Botad</v>
      </c>
      <c r="Q3" s="98"/>
      <c r="R3" s="98" t="str">
        <f>Districts_Setup!$B$12</f>
        <v>Chhota Udepur</v>
      </c>
      <c r="S3" s="98"/>
      <c r="T3" s="98" t="str">
        <f>Districts_Setup!$B$13</f>
        <v>Dahod</v>
      </c>
      <c r="U3" s="98"/>
      <c r="V3" s="98" t="str">
        <f>Districts_Setup!$B$14</f>
        <v>Dang</v>
      </c>
      <c r="W3" s="98"/>
      <c r="X3" s="98" t="str">
        <f>Districts_Setup!$B$15</f>
        <v>Devbhoomi Dwarka</v>
      </c>
      <c r="Y3" s="98"/>
      <c r="Z3" s="98" t="str">
        <f>Districts_Setup!$B$16</f>
        <v>Gandhinagar</v>
      </c>
      <c r="AA3" s="98"/>
      <c r="AB3" s="98" t="str">
        <f>Districts_Setup!$B$17</f>
        <v>Gir Somnath</v>
      </c>
      <c r="AC3" s="98"/>
      <c r="AD3" s="98" t="str">
        <f>Districts_Setup!$B$18</f>
        <v>Jamnagar</v>
      </c>
      <c r="AE3" s="98"/>
      <c r="AF3" s="98" t="str">
        <f>Districts_Setup!$B$19</f>
        <v>Junagadh</v>
      </c>
      <c r="AG3" s="98"/>
      <c r="AH3" s="98" t="str">
        <f>Districts_Setup!$B$20</f>
        <v>Kutch</v>
      </c>
      <c r="AI3" s="98"/>
      <c r="AJ3" s="98" t="str">
        <f>Districts_Setup!$B$21</f>
        <v>Kheda</v>
      </c>
      <c r="AK3" s="98"/>
      <c r="AL3" s="98" t="str">
        <f>Districts_Setup!$B$22</f>
        <v>Mahisagar</v>
      </c>
      <c r="AM3" s="98"/>
      <c r="AN3" s="98" t="str">
        <f>Districts_Setup!$B$23</f>
        <v>Mehsana</v>
      </c>
      <c r="AO3" s="98"/>
      <c r="AP3" s="98" t="str">
        <f>Districts_Setup!$B$24</f>
        <v>Morbi</v>
      </c>
      <c r="AQ3" s="98"/>
      <c r="AR3" s="98" t="str">
        <f>Districts_Setup!$B$25</f>
        <v>Narmada</v>
      </c>
      <c r="AS3" s="98"/>
      <c r="AT3" s="98" t="str">
        <f>Districts_Setup!$B$26</f>
        <v>Navsari</v>
      </c>
      <c r="AU3" s="98"/>
      <c r="AV3" s="98" t="str">
        <f>Districts_Setup!$B$27</f>
        <v>Panchmahal</v>
      </c>
      <c r="AW3" s="98"/>
      <c r="AX3" s="98" t="str">
        <f>Districts_Setup!$B$28</f>
        <v>Patan</v>
      </c>
      <c r="AY3" s="98"/>
      <c r="AZ3" s="98" t="str">
        <f>Districts_Setup!$B$29</f>
        <v>Porbandar</v>
      </c>
      <c r="BA3" s="98"/>
      <c r="BB3" s="98" t="str">
        <f>Districts_Setup!$B$30</f>
        <v>Rajkot</v>
      </c>
      <c r="BC3" s="98"/>
      <c r="BD3" s="98" t="str">
        <f>Districts_Setup!$B$31</f>
        <v>Sabarkantha</v>
      </c>
      <c r="BE3" s="98"/>
      <c r="BF3" s="98" t="str">
        <f>Districts_Setup!$B$32</f>
        <v>Surat</v>
      </c>
      <c r="BG3" s="98"/>
      <c r="BH3" s="98" t="str">
        <f>Districts_Setup!$B$33</f>
        <v>Surendranagar</v>
      </c>
      <c r="BI3" s="98"/>
      <c r="BJ3" s="98" t="str">
        <f>Districts_Setup!$B$34</f>
        <v>Tapi</v>
      </c>
      <c r="BK3" s="98"/>
      <c r="BL3" s="98" t="str">
        <f>Districts_Setup!$B$35</f>
        <v>Vadodara</v>
      </c>
      <c r="BM3" s="98"/>
      <c r="BN3" s="98" t="str">
        <f>Districts_Setup!$B$36</f>
        <v>Valsad</v>
      </c>
      <c r="BO3" s="98"/>
      <c r="BP3" s="97" t="s">
        <v>647</v>
      </c>
      <c r="BQ3" s="97" t="s">
        <v>648</v>
      </c>
      <c r="BR3" s="97" t="s">
        <v>649</v>
      </c>
      <c r="BS3" s="97" t="s">
        <v>484</v>
      </c>
    </row>
    <row r="4" spans="1:71" ht="43.05" customHeight="1" x14ac:dyDescent="0.3">
      <c r="A4" s="98"/>
      <c r="B4" s="65" t="s">
        <v>650</v>
      </c>
      <c r="C4" s="65" t="s">
        <v>651</v>
      </c>
      <c r="D4" s="65" t="s">
        <v>650</v>
      </c>
      <c r="E4" s="65" t="s">
        <v>651</v>
      </c>
      <c r="F4" s="65" t="s">
        <v>650</v>
      </c>
      <c r="G4" s="65" t="s">
        <v>651</v>
      </c>
      <c r="H4" s="65" t="s">
        <v>650</v>
      </c>
      <c r="I4" s="65" t="s">
        <v>651</v>
      </c>
      <c r="J4" s="65" t="s">
        <v>650</v>
      </c>
      <c r="K4" s="65" t="s">
        <v>651</v>
      </c>
      <c r="L4" s="65" t="s">
        <v>650</v>
      </c>
      <c r="M4" s="65" t="s">
        <v>651</v>
      </c>
      <c r="N4" s="65" t="s">
        <v>650</v>
      </c>
      <c r="O4" s="65" t="s">
        <v>651</v>
      </c>
      <c r="P4" s="65" t="s">
        <v>650</v>
      </c>
      <c r="Q4" s="65" t="s">
        <v>651</v>
      </c>
      <c r="R4" s="65" t="s">
        <v>650</v>
      </c>
      <c r="S4" s="65" t="s">
        <v>651</v>
      </c>
      <c r="T4" s="65" t="s">
        <v>650</v>
      </c>
      <c r="U4" s="65" t="s">
        <v>651</v>
      </c>
      <c r="V4" s="65" t="s">
        <v>650</v>
      </c>
      <c r="W4" s="65" t="s">
        <v>651</v>
      </c>
      <c r="X4" s="65" t="s">
        <v>650</v>
      </c>
      <c r="Y4" s="65" t="s">
        <v>651</v>
      </c>
      <c r="Z4" s="65" t="s">
        <v>650</v>
      </c>
      <c r="AA4" s="65" t="s">
        <v>651</v>
      </c>
      <c r="AB4" s="65" t="s">
        <v>650</v>
      </c>
      <c r="AC4" s="65" t="s">
        <v>651</v>
      </c>
      <c r="AD4" s="65" t="s">
        <v>650</v>
      </c>
      <c r="AE4" s="65" t="s">
        <v>651</v>
      </c>
      <c r="AF4" s="65" t="s">
        <v>650</v>
      </c>
      <c r="AG4" s="65" t="s">
        <v>651</v>
      </c>
      <c r="AH4" s="65" t="s">
        <v>650</v>
      </c>
      <c r="AI4" s="65" t="s">
        <v>651</v>
      </c>
      <c r="AJ4" s="65" t="s">
        <v>650</v>
      </c>
      <c r="AK4" s="65" t="s">
        <v>651</v>
      </c>
      <c r="AL4" s="65" t="s">
        <v>650</v>
      </c>
      <c r="AM4" s="65" t="s">
        <v>651</v>
      </c>
      <c r="AN4" s="65" t="s">
        <v>650</v>
      </c>
      <c r="AO4" s="65" t="s">
        <v>651</v>
      </c>
      <c r="AP4" s="65" t="s">
        <v>650</v>
      </c>
      <c r="AQ4" s="65" t="s">
        <v>651</v>
      </c>
      <c r="AR4" s="65" t="s">
        <v>650</v>
      </c>
      <c r="AS4" s="65" t="s">
        <v>651</v>
      </c>
      <c r="AT4" s="65" t="s">
        <v>650</v>
      </c>
      <c r="AU4" s="65" t="s">
        <v>651</v>
      </c>
      <c r="AV4" s="65" t="s">
        <v>650</v>
      </c>
      <c r="AW4" s="65" t="s">
        <v>651</v>
      </c>
      <c r="AX4" s="65" t="s">
        <v>650</v>
      </c>
      <c r="AY4" s="65" t="s">
        <v>651</v>
      </c>
      <c r="AZ4" s="65" t="s">
        <v>650</v>
      </c>
      <c r="BA4" s="65" t="s">
        <v>651</v>
      </c>
      <c r="BB4" s="65" t="s">
        <v>650</v>
      </c>
      <c r="BC4" s="65" t="s">
        <v>651</v>
      </c>
      <c r="BD4" s="65" t="s">
        <v>650</v>
      </c>
      <c r="BE4" s="65" t="s">
        <v>651</v>
      </c>
      <c r="BF4" s="65" t="s">
        <v>650</v>
      </c>
      <c r="BG4" s="65" t="s">
        <v>651</v>
      </c>
      <c r="BH4" s="65" t="s">
        <v>650</v>
      </c>
      <c r="BI4" s="65" t="s">
        <v>651</v>
      </c>
      <c r="BJ4" s="65" t="s">
        <v>650</v>
      </c>
      <c r="BK4" s="65" t="s">
        <v>651</v>
      </c>
      <c r="BL4" s="65" t="s">
        <v>650</v>
      </c>
      <c r="BM4" s="65" t="s">
        <v>651</v>
      </c>
      <c r="BN4" s="65" t="s">
        <v>650</v>
      </c>
      <c r="BO4" s="65" t="s">
        <v>651</v>
      </c>
      <c r="BP4" s="97"/>
      <c r="BQ4" s="97"/>
      <c r="BR4" s="97"/>
      <c r="BS4" s="97"/>
    </row>
    <row r="5" spans="1:71" ht="30" customHeight="1" x14ac:dyDescent="0.3">
      <c r="A5" s="13" t="s">
        <v>662</v>
      </c>
      <c r="B5" s="58">
        <v>0.51</v>
      </c>
      <c r="C5" s="58">
        <v>0.5</v>
      </c>
      <c r="D5" s="58">
        <v>0.5</v>
      </c>
      <c r="E5" s="58">
        <v>0.5</v>
      </c>
      <c r="F5" s="58">
        <v>0.5</v>
      </c>
      <c r="G5" s="58">
        <v>0.5</v>
      </c>
      <c r="H5" s="58">
        <v>0.52</v>
      </c>
      <c r="I5" s="58">
        <v>0.52</v>
      </c>
      <c r="J5" s="58">
        <v>0.47</v>
      </c>
      <c r="K5" s="58">
        <v>0.47</v>
      </c>
      <c r="L5" s="58">
        <v>0.49</v>
      </c>
      <c r="M5" s="58">
        <v>0.5</v>
      </c>
      <c r="N5" s="58">
        <v>0.5</v>
      </c>
      <c r="O5" s="58">
        <v>0.5</v>
      </c>
      <c r="P5" s="58">
        <v>0.48</v>
      </c>
      <c r="Q5" s="58">
        <v>0.48</v>
      </c>
      <c r="R5" s="58">
        <v>0.52</v>
      </c>
      <c r="S5" s="58">
        <v>0.52</v>
      </c>
      <c r="T5" s="58">
        <v>0.49</v>
      </c>
      <c r="U5" s="58">
        <v>0.49</v>
      </c>
      <c r="V5" s="58">
        <v>0.5</v>
      </c>
      <c r="W5" s="58">
        <v>0.5</v>
      </c>
      <c r="X5" s="58">
        <v>0.51</v>
      </c>
      <c r="Y5" s="58">
        <v>0.51</v>
      </c>
      <c r="Z5" s="58">
        <v>0.49</v>
      </c>
      <c r="AA5" s="58">
        <v>0.49</v>
      </c>
      <c r="AB5" s="58">
        <v>0.49</v>
      </c>
      <c r="AC5" s="58">
        <v>0.49</v>
      </c>
      <c r="AD5" s="58">
        <v>0.5</v>
      </c>
      <c r="AE5" s="58">
        <v>0.49</v>
      </c>
      <c r="AF5" s="58">
        <v>0.48</v>
      </c>
      <c r="AG5" s="58">
        <v>0.49</v>
      </c>
      <c r="AH5" s="58">
        <v>0.48</v>
      </c>
      <c r="AI5" s="58">
        <v>0.48</v>
      </c>
      <c r="AJ5" s="58">
        <v>0.5</v>
      </c>
      <c r="AK5" s="58">
        <v>0.5</v>
      </c>
      <c r="AL5" s="58">
        <v>0.52</v>
      </c>
      <c r="AM5" s="58">
        <v>0.52</v>
      </c>
      <c r="AN5" s="58">
        <v>0.5</v>
      </c>
      <c r="AO5" s="58">
        <v>0.5</v>
      </c>
      <c r="AP5" s="58">
        <v>0.49</v>
      </c>
      <c r="AQ5" s="58">
        <v>0.5</v>
      </c>
      <c r="AR5" s="58">
        <v>0.48</v>
      </c>
      <c r="AS5" s="58">
        <v>0.48</v>
      </c>
      <c r="AT5" s="58">
        <v>0.49</v>
      </c>
      <c r="AU5" s="58">
        <v>0.49</v>
      </c>
      <c r="AV5" s="58">
        <v>0.49</v>
      </c>
      <c r="AW5" s="58">
        <v>0.5</v>
      </c>
      <c r="AX5" s="58">
        <v>0.5</v>
      </c>
      <c r="AY5" s="58">
        <v>0.5</v>
      </c>
      <c r="AZ5" s="58">
        <v>0.5</v>
      </c>
      <c r="BA5" s="58">
        <v>0.5</v>
      </c>
      <c r="BB5" s="58">
        <v>0.49</v>
      </c>
      <c r="BC5" s="58">
        <v>0.49</v>
      </c>
      <c r="BD5" s="58">
        <v>0.5</v>
      </c>
      <c r="BE5" s="58">
        <v>0.49</v>
      </c>
      <c r="BF5" s="58">
        <v>0.51</v>
      </c>
      <c r="BG5" s="58">
        <v>0.51</v>
      </c>
      <c r="BH5" s="58">
        <v>0.48</v>
      </c>
      <c r="BI5" s="58">
        <v>0.48</v>
      </c>
      <c r="BJ5" s="58">
        <v>0.49</v>
      </c>
      <c r="BK5" s="58">
        <v>0.5</v>
      </c>
      <c r="BL5" s="58">
        <v>0.49</v>
      </c>
      <c r="BM5" s="58">
        <v>0.5</v>
      </c>
      <c r="BN5" s="58">
        <v>0.48</v>
      </c>
      <c r="BO5" s="58">
        <v>0.48</v>
      </c>
      <c r="BP5" s="60">
        <f t="shared" ref="BP5:BQ11" si="0">IFERROR(AVERAGE(B5,D5,F5,H5,J5,L5,N5,P5,R5,T5,V5,X5,Z5,AB5,AD5,AF5,AH5,AJ5,AL5,AN5,AP5,AR5,AT5,AV5,AX5,AZ5,BB5,BD5,BF5,BH5,BJ5,BL5,BN5),0)</f>
        <v>0.49515151515151523</v>
      </c>
      <c r="BQ5" s="60">
        <f t="shared" si="0"/>
        <v>0.49606060606060609</v>
      </c>
      <c r="BR5" s="58"/>
      <c r="BS5" s="34" t="s">
        <v>653</v>
      </c>
    </row>
    <row r="6" spans="1:71" ht="30" customHeight="1" x14ac:dyDescent="0.3">
      <c r="A6" s="13" t="s">
        <v>663</v>
      </c>
      <c r="B6" s="58">
        <v>0.54</v>
      </c>
      <c r="C6" s="58">
        <v>0.53</v>
      </c>
      <c r="D6" s="58">
        <v>0.59</v>
      </c>
      <c r="E6" s="58">
        <v>0.59</v>
      </c>
      <c r="F6" s="58">
        <v>0.55000000000000004</v>
      </c>
      <c r="G6" s="58">
        <v>0.55000000000000004</v>
      </c>
      <c r="H6" s="58">
        <v>0.53</v>
      </c>
      <c r="I6" s="58">
        <v>0.52</v>
      </c>
      <c r="J6" s="58">
        <v>0.56999999999999995</v>
      </c>
      <c r="K6" s="58">
        <v>0.57999999999999996</v>
      </c>
      <c r="L6" s="58">
        <v>0.56000000000000005</v>
      </c>
      <c r="M6" s="58">
        <v>0.55000000000000004</v>
      </c>
      <c r="N6" s="58">
        <v>0.57999999999999996</v>
      </c>
      <c r="O6" s="58">
        <v>0.59</v>
      </c>
      <c r="P6" s="58">
        <v>0.6</v>
      </c>
      <c r="Q6" s="58">
        <v>0.59</v>
      </c>
      <c r="R6" s="58">
        <v>0.56000000000000005</v>
      </c>
      <c r="S6" s="58">
        <v>0.56000000000000005</v>
      </c>
      <c r="T6" s="58">
        <v>0.54</v>
      </c>
      <c r="U6" s="58">
        <v>0.54</v>
      </c>
      <c r="V6" s="58">
        <v>0.56000000000000005</v>
      </c>
      <c r="W6" s="58">
        <v>0.56999999999999995</v>
      </c>
      <c r="X6" s="58">
        <v>0.57999999999999996</v>
      </c>
      <c r="Y6" s="58">
        <v>0.57999999999999996</v>
      </c>
      <c r="Z6" s="58">
        <v>0.5</v>
      </c>
      <c r="AA6" s="58">
        <v>0.5</v>
      </c>
      <c r="AB6" s="58">
        <v>0.66</v>
      </c>
      <c r="AC6" s="58">
        <v>0.66</v>
      </c>
      <c r="AD6" s="58">
        <v>0.55000000000000004</v>
      </c>
      <c r="AE6" s="58">
        <v>0.56000000000000005</v>
      </c>
      <c r="AF6" s="58">
        <v>0.56000000000000005</v>
      </c>
      <c r="AG6" s="58">
        <v>0.56999999999999995</v>
      </c>
      <c r="AH6" s="58">
        <v>0.52</v>
      </c>
      <c r="AI6" s="58">
        <v>0.52</v>
      </c>
      <c r="AJ6" s="58">
        <v>0.55000000000000004</v>
      </c>
      <c r="AK6" s="58">
        <v>0.54</v>
      </c>
      <c r="AL6" s="58">
        <v>0.59</v>
      </c>
      <c r="AM6" s="58">
        <v>0.6</v>
      </c>
      <c r="AN6" s="58">
        <v>0.55000000000000004</v>
      </c>
      <c r="AO6" s="58">
        <v>0.55000000000000004</v>
      </c>
      <c r="AP6" s="58">
        <v>0.52</v>
      </c>
      <c r="AQ6" s="58">
        <v>0.53</v>
      </c>
      <c r="AR6" s="58">
        <v>0.62</v>
      </c>
      <c r="AS6" s="58">
        <v>0.62</v>
      </c>
      <c r="AT6" s="58">
        <v>0.5</v>
      </c>
      <c r="AU6" s="58">
        <v>0.51</v>
      </c>
      <c r="AV6" s="58">
        <v>0.56999999999999995</v>
      </c>
      <c r="AW6" s="58">
        <v>0.56999999999999995</v>
      </c>
      <c r="AX6" s="58">
        <v>0.53</v>
      </c>
      <c r="AY6" s="58">
        <v>0.54</v>
      </c>
      <c r="AZ6" s="58">
        <v>0.59</v>
      </c>
      <c r="BA6" s="58">
        <v>0.59</v>
      </c>
      <c r="BB6" s="58">
        <v>0.55000000000000004</v>
      </c>
      <c r="BC6" s="58">
        <v>0.55000000000000004</v>
      </c>
      <c r="BD6" s="58">
        <v>0.55000000000000004</v>
      </c>
      <c r="BE6" s="58">
        <v>0.56000000000000005</v>
      </c>
      <c r="BF6" s="58">
        <v>0.51</v>
      </c>
      <c r="BG6" s="58">
        <v>0.5</v>
      </c>
      <c r="BH6" s="58">
        <v>0.57999999999999996</v>
      </c>
      <c r="BI6" s="58">
        <v>0.57999999999999996</v>
      </c>
      <c r="BJ6" s="58">
        <v>0.54</v>
      </c>
      <c r="BK6" s="58">
        <v>0.53</v>
      </c>
      <c r="BL6" s="58">
        <v>0.52</v>
      </c>
      <c r="BM6" s="58">
        <v>0.52</v>
      </c>
      <c r="BN6" s="58">
        <v>0.52</v>
      </c>
      <c r="BO6" s="58">
        <v>0.52</v>
      </c>
      <c r="BP6" s="60">
        <f t="shared" si="0"/>
        <v>0.55575757575757578</v>
      </c>
      <c r="BQ6" s="60">
        <f t="shared" si="0"/>
        <v>0.55666666666666664</v>
      </c>
      <c r="BR6" s="58"/>
      <c r="BS6" s="34"/>
    </row>
    <row r="7" spans="1:71" ht="30" customHeight="1" x14ac:dyDescent="0.3">
      <c r="A7" s="13" t="s">
        <v>664</v>
      </c>
      <c r="B7" s="58">
        <v>0.88</v>
      </c>
      <c r="C7" s="58">
        <v>0.89</v>
      </c>
      <c r="D7" s="58">
        <v>0.91</v>
      </c>
      <c r="E7" s="58">
        <v>0.91</v>
      </c>
      <c r="F7" s="58">
        <v>0.9</v>
      </c>
      <c r="G7" s="58">
        <v>0.9</v>
      </c>
      <c r="H7" s="58">
        <v>0.91</v>
      </c>
      <c r="I7" s="58">
        <v>0.9</v>
      </c>
      <c r="J7" s="58">
        <v>0.89</v>
      </c>
      <c r="K7" s="58">
        <v>0.89</v>
      </c>
      <c r="L7" s="58">
        <v>0.91</v>
      </c>
      <c r="M7" s="58">
        <v>0.91</v>
      </c>
      <c r="N7" s="58">
        <v>0.89</v>
      </c>
      <c r="O7" s="58">
        <v>0.89</v>
      </c>
      <c r="P7" s="58">
        <v>0.89</v>
      </c>
      <c r="Q7" s="58">
        <v>0.88</v>
      </c>
      <c r="R7" s="58">
        <v>0.9</v>
      </c>
      <c r="S7" s="58">
        <v>0.89</v>
      </c>
      <c r="T7" s="58">
        <v>0.86</v>
      </c>
      <c r="U7" s="58">
        <v>0.86</v>
      </c>
      <c r="V7" s="58">
        <v>0.9</v>
      </c>
      <c r="W7" s="58">
        <v>0.9</v>
      </c>
      <c r="X7" s="58">
        <v>0.9</v>
      </c>
      <c r="Y7" s="58">
        <v>0.9</v>
      </c>
      <c r="Z7" s="58">
        <v>0.89</v>
      </c>
      <c r="AA7" s="58">
        <v>0.89</v>
      </c>
      <c r="AB7" s="58">
        <v>0.92</v>
      </c>
      <c r="AC7" s="58">
        <v>0.91</v>
      </c>
      <c r="AD7" s="58">
        <v>0.9</v>
      </c>
      <c r="AE7" s="58">
        <v>0.9</v>
      </c>
      <c r="AF7" s="58">
        <v>0.89</v>
      </c>
      <c r="AG7" s="58">
        <v>0.89</v>
      </c>
      <c r="AH7" s="58">
        <v>0.89</v>
      </c>
      <c r="AI7" s="58">
        <v>0.88</v>
      </c>
      <c r="AJ7" s="58">
        <v>0.87</v>
      </c>
      <c r="AK7" s="58">
        <v>0.86</v>
      </c>
      <c r="AL7" s="58">
        <v>0.92</v>
      </c>
      <c r="AM7" s="58">
        <v>0.92</v>
      </c>
      <c r="AN7" s="58">
        <v>0.87</v>
      </c>
      <c r="AO7" s="58">
        <v>0.88</v>
      </c>
      <c r="AP7" s="58">
        <v>0.89</v>
      </c>
      <c r="AQ7" s="58">
        <v>0.89</v>
      </c>
      <c r="AR7" s="58">
        <v>0.9</v>
      </c>
      <c r="AS7" s="58">
        <v>0.9</v>
      </c>
      <c r="AT7" s="58">
        <v>0.91</v>
      </c>
      <c r="AU7" s="58">
        <v>0.9</v>
      </c>
      <c r="AV7" s="58">
        <v>0.91</v>
      </c>
      <c r="AW7" s="58">
        <v>0.91</v>
      </c>
      <c r="AX7" s="58">
        <v>0.89</v>
      </c>
      <c r="AY7" s="58">
        <v>0.88</v>
      </c>
      <c r="AZ7" s="58">
        <v>0.89</v>
      </c>
      <c r="BA7" s="58">
        <v>0.89</v>
      </c>
      <c r="BB7" s="58">
        <v>0.88</v>
      </c>
      <c r="BC7" s="58">
        <v>0.87</v>
      </c>
      <c r="BD7" s="58">
        <v>0.88</v>
      </c>
      <c r="BE7" s="58">
        <v>0.87</v>
      </c>
      <c r="BF7" s="58">
        <v>0.9</v>
      </c>
      <c r="BG7" s="58">
        <v>0.88</v>
      </c>
      <c r="BH7" s="58">
        <v>0.88</v>
      </c>
      <c r="BI7" s="58">
        <v>0.87</v>
      </c>
      <c r="BJ7" s="58">
        <v>0.93</v>
      </c>
      <c r="BK7" s="58">
        <v>0.92</v>
      </c>
      <c r="BL7" s="58">
        <v>0.89</v>
      </c>
      <c r="BM7" s="58">
        <v>0.89</v>
      </c>
      <c r="BN7" s="58">
        <v>0.89</v>
      </c>
      <c r="BO7" s="58">
        <v>0.9</v>
      </c>
      <c r="BP7" s="60">
        <f t="shared" si="0"/>
        <v>0.89484848484848489</v>
      </c>
      <c r="BQ7" s="60">
        <f t="shared" si="0"/>
        <v>0.8915151515151517</v>
      </c>
      <c r="BR7" s="58"/>
      <c r="BS7" s="34"/>
    </row>
    <row r="8" spans="1:71" ht="30" customHeight="1" x14ac:dyDescent="0.3">
      <c r="A8" s="13" t="s">
        <v>665</v>
      </c>
      <c r="B8" s="58">
        <v>0.38</v>
      </c>
      <c r="C8" s="58">
        <v>0.38</v>
      </c>
      <c r="D8" s="58">
        <v>0.35</v>
      </c>
      <c r="E8" s="58">
        <v>0.36</v>
      </c>
      <c r="F8" s="58">
        <v>0.39</v>
      </c>
      <c r="G8" s="58">
        <v>0.39</v>
      </c>
      <c r="H8" s="58">
        <v>0.38</v>
      </c>
      <c r="I8" s="58">
        <v>0.37</v>
      </c>
      <c r="J8" s="58">
        <v>0.39</v>
      </c>
      <c r="K8" s="58">
        <v>0.39</v>
      </c>
      <c r="L8" s="58">
        <v>0.39</v>
      </c>
      <c r="M8" s="58">
        <v>0.39</v>
      </c>
      <c r="N8" s="58">
        <v>0.39</v>
      </c>
      <c r="O8" s="58">
        <v>0.4</v>
      </c>
      <c r="P8" s="58">
        <v>0.38</v>
      </c>
      <c r="Q8" s="58">
        <v>0.38</v>
      </c>
      <c r="R8" s="58">
        <v>0.41</v>
      </c>
      <c r="S8" s="58">
        <v>0.41</v>
      </c>
      <c r="T8" s="58">
        <v>0.41</v>
      </c>
      <c r="U8" s="58">
        <v>0.41</v>
      </c>
      <c r="V8" s="58">
        <v>0.45</v>
      </c>
      <c r="W8" s="58">
        <v>0.45</v>
      </c>
      <c r="X8" s="58">
        <v>0.38</v>
      </c>
      <c r="Y8" s="58">
        <v>0.38</v>
      </c>
      <c r="Z8" s="58">
        <v>0.36</v>
      </c>
      <c r="AA8" s="58">
        <v>0.36</v>
      </c>
      <c r="AB8" s="58">
        <v>0.39</v>
      </c>
      <c r="AC8" s="58">
        <v>0.39</v>
      </c>
      <c r="AD8" s="58">
        <v>0.38</v>
      </c>
      <c r="AE8" s="58">
        <v>0.39</v>
      </c>
      <c r="AF8" s="58">
        <v>0.35</v>
      </c>
      <c r="AG8" s="58">
        <v>0.35</v>
      </c>
      <c r="AH8" s="58">
        <v>0.43</v>
      </c>
      <c r="AI8" s="58">
        <v>0.43</v>
      </c>
      <c r="AJ8" s="58">
        <v>0.39</v>
      </c>
      <c r="AK8" s="58">
        <v>0.39</v>
      </c>
      <c r="AL8" s="58">
        <v>0.37</v>
      </c>
      <c r="AM8" s="58">
        <v>0.38</v>
      </c>
      <c r="AN8" s="58">
        <v>0.39</v>
      </c>
      <c r="AO8" s="58">
        <v>0.39</v>
      </c>
      <c r="AP8" s="58">
        <v>0.35</v>
      </c>
      <c r="AQ8" s="58">
        <v>0.36</v>
      </c>
      <c r="AR8" s="58">
        <v>0.39</v>
      </c>
      <c r="AS8" s="58">
        <v>0.39</v>
      </c>
      <c r="AT8" s="58">
        <v>0.38</v>
      </c>
      <c r="AU8" s="58">
        <v>0.38</v>
      </c>
      <c r="AV8" s="58">
        <v>0.41</v>
      </c>
      <c r="AW8" s="58">
        <v>0.41</v>
      </c>
      <c r="AX8" s="58">
        <v>0.4</v>
      </c>
      <c r="AY8" s="58">
        <v>0.4</v>
      </c>
      <c r="AZ8" s="58">
        <v>0.37</v>
      </c>
      <c r="BA8" s="58">
        <v>0.38</v>
      </c>
      <c r="BB8" s="58">
        <v>0.37</v>
      </c>
      <c r="BC8" s="58">
        <v>0.38</v>
      </c>
      <c r="BD8" s="58">
        <v>0.36</v>
      </c>
      <c r="BE8" s="58">
        <v>0.37</v>
      </c>
      <c r="BF8" s="58">
        <v>0.37</v>
      </c>
      <c r="BG8" s="58">
        <v>0.38</v>
      </c>
      <c r="BH8" s="58">
        <v>0.39</v>
      </c>
      <c r="BI8" s="58">
        <v>0.39</v>
      </c>
      <c r="BJ8" s="58">
        <v>0.38</v>
      </c>
      <c r="BK8" s="58">
        <v>0.39</v>
      </c>
      <c r="BL8" s="58">
        <v>0.37</v>
      </c>
      <c r="BM8" s="58">
        <v>0.38</v>
      </c>
      <c r="BN8" s="58">
        <v>0.41</v>
      </c>
      <c r="BO8" s="58">
        <v>0.43</v>
      </c>
      <c r="BP8" s="60">
        <f t="shared" si="0"/>
        <v>0.38515151515151513</v>
      </c>
      <c r="BQ8" s="60">
        <f t="shared" si="0"/>
        <v>0.3887878787878789</v>
      </c>
      <c r="BR8" s="58"/>
      <c r="BS8" s="34"/>
    </row>
    <row r="9" spans="1:71" ht="30" customHeight="1" x14ac:dyDescent="0.3">
      <c r="A9" s="13" t="s">
        <v>666</v>
      </c>
      <c r="B9" s="58">
        <v>0.75</v>
      </c>
      <c r="C9" s="58">
        <v>0.75</v>
      </c>
      <c r="D9" s="58">
        <v>0.73</v>
      </c>
      <c r="E9" s="58">
        <v>0.74</v>
      </c>
      <c r="F9" s="58">
        <v>0.77</v>
      </c>
      <c r="G9" s="58">
        <v>0.76</v>
      </c>
      <c r="H9" s="58">
        <v>0.72</v>
      </c>
      <c r="I9" s="58">
        <v>0.72</v>
      </c>
      <c r="J9" s="58">
        <v>0.73</v>
      </c>
      <c r="K9" s="58">
        <v>0.73</v>
      </c>
      <c r="L9" s="58">
        <v>0.76</v>
      </c>
      <c r="M9" s="58">
        <v>0.76</v>
      </c>
      <c r="N9" s="58">
        <v>0.75</v>
      </c>
      <c r="O9" s="58">
        <v>0.76</v>
      </c>
      <c r="P9" s="58">
        <v>0.76</v>
      </c>
      <c r="Q9" s="58">
        <v>0.75</v>
      </c>
      <c r="R9" s="58">
        <v>0.73</v>
      </c>
      <c r="S9" s="58">
        <v>0.73</v>
      </c>
      <c r="T9" s="58">
        <v>0.69</v>
      </c>
      <c r="U9" s="58">
        <v>0.68</v>
      </c>
      <c r="V9" s="58">
        <v>0.74</v>
      </c>
      <c r="W9" s="58">
        <v>0.74</v>
      </c>
      <c r="X9" s="58">
        <v>0.76</v>
      </c>
      <c r="Y9" s="58">
        <v>0.76</v>
      </c>
      <c r="Z9" s="58">
        <v>0.76</v>
      </c>
      <c r="AA9" s="58">
        <v>0.76</v>
      </c>
      <c r="AB9" s="58">
        <v>0.73</v>
      </c>
      <c r="AC9" s="58">
        <v>0.73</v>
      </c>
      <c r="AD9" s="58">
        <v>0.77</v>
      </c>
      <c r="AE9" s="58">
        <v>0.77</v>
      </c>
      <c r="AF9" s="58">
        <v>0.75</v>
      </c>
      <c r="AG9" s="58">
        <v>0.75</v>
      </c>
      <c r="AH9" s="58">
        <v>0.77</v>
      </c>
      <c r="AI9" s="58">
        <v>0.77</v>
      </c>
      <c r="AJ9" s="58">
        <v>0.76</v>
      </c>
      <c r="AK9" s="58">
        <v>0.76</v>
      </c>
      <c r="AL9" s="58">
        <v>0.74</v>
      </c>
      <c r="AM9" s="58">
        <v>0.73</v>
      </c>
      <c r="AN9" s="58">
        <v>0.76</v>
      </c>
      <c r="AO9" s="58">
        <v>0.77</v>
      </c>
      <c r="AP9" s="58">
        <v>0.74</v>
      </c>
      <c r="AQ9" s="58">
        <v>0.74</v>
      </c>
      <c r="AR9" s="58">
        <v>0.75</v>
      </c>
      <c r="AS9" s="58">
        <v>0.75</v>
      </c>
      <c r="AT9" s="58">
        <v>0.74</v>
      </c>
      <c r="AU9" s="58">
        <v>0.74</v>
      </c>
      <c r="AV9" s="58">
        <v>0.72</v>
      </c>
      <c r="AW9" s="58">
        <v>0.72</v>
      </c>
      <c r="AX9" s="58">
        <v>0.75</v>
      </c>
      <c r="AY9" s="58">
        <v>0.74</v>
      </c>
      <c r="AZ9" s="58">
        <v>0.75</v>
      </c>
      <c r="BA9" s="58">
        <v>0.76</v>
      </c>
      <c r="BB9" s="58">
        <v>0.78</v>
      </c>
      <c r="BC9" s="58">
        <v>0.77</v>
      </c>
      <c r="BD9" s="58">
        <v>0.73</v>
      </c>
      <c r="BE9" s="58">
        <v>0.74</v>
      </c>
      <c r="BF9" s="58">
        <v>0.75</v>
      </c>
      <c r="BG9" s="58">
        <v>0.75</v>
      </c>
      <c r="BH9" s="58">
        <v>0.74</v>
      </c>
      <c r="BI9" s="58">
        <v>0.75</v>
      </c>
      <c r="BJ9" s="58">
        <v>0.76</v>
      </c>
      <c r="BK9" s="58">
        <v>0.76</v>
      </c>
      <c r="BL9" s="58">
        <v>0.76</v>
      </c>
      <c r="BM9" s="58">
        <v>0.76</v>
      </c>
      <c r="BN9" s="58">
        <v>0.76</v>
      </c>
      <c r="BO9" s="58">
        <v>0.76</v>
      </c>
      <c r="BP9" s="60">
        <f t="shared" si="0"/>
        <v>0.74727272727272731</v>
      </c>
      <c r="BQ9" s="60">
        <f t="shared" si="0"/>
        <v>0.7472727272727272</v>
      </c>
      <c r="BR9" s="58"/>
      <c r="BS9" s="34"/>
    </row>
    <row r="10" spans="1:71" ht="30" customHeight="1" x14ac:dyDescent="0.3">
      <c r="A10" s="13" t="s">
        <v>667</v>
      </c>
      <c r="B10" s="58">
        <v>0.73</v>
      </c>
      <c r="C10" s="58">
        <v>0.73</v>
      </c>
      <c r="D10" s="58">
        <v>0.7</v>
      </c>
      <c r="E10" s="58">
        <v>0.7</v>
      </c>
      <c r="F10" s="58">
        <v>0.75</v>
      </c>
      <c r="G10" s="58">
        <v>0.75</v>
      </c>
      <c r="H10" s="58">
        <v>0.76</v>
      </c>
      <c r="I10" s="58">
        <v>0.75</v>
      </c>
      <c r="J10" s="58">
        <v>0.75</v>
      </c>
      <c r="K10" s="58">
        <v>0.75</v>
      </c>
      <c r="L10" s="58">
        <v>0.75</v>
      </c>
      <c r="M10" s="58">
        <v>0.75</v>
      </c>
      <c r="N10" s="58">
        <v>0.74</v>
      </c>
      <c r="O10" s="58">
        <v>0.74</v>
      </c>
      <c r="P10" s="58">
        <v>0.73</v>
      </c>
      <c r="Q10" s="58">
        <v>0.73</v>
      </c>
      <c r="R10" s="58">
        <v>0.74</v>
      </c>
      <c r="S10" s="58">
        <v>0.74</v>
      </c>
      <c r="T10" s="58">
        <v>0.7</v>
      </c>
      <c r="U10" s="58">
        <v>0.71</v>
      </c>
      <c r="V10" s="58">
        <v>0.76</v>
      </c>
      <c r="W10" s="58">
        <v>0.76</v>
      </c>
      <c r="X10" s="58">
        <v>0.74</v>
      </c>
      <c r="Y10" s="58">
        <v>0.74</v>
      </c>
      <c r="Z10" s="58">
        <v>0.73</v>
      </c>
      <c r="AA10" s="58">
        <v>0.73</v>
      </c>
      <c r="AB10" s="58">
        <v>0.73</v>
      </c>
      <c r="AC10" s="58">
        <v>0.74</v>
      </c>
      <c r="AD10" s="58">
        <v>0.74</v>
      </c>
      <c r="AE10" s="58">
        <v>0.73</v>
      </c>
      <c r="AF10" s="58">
        <v>0.73</v>
      </c>
      <c r="AG10" s="58">
        <v>0.73</v>
      </c>
      <c r="AH10" s="58">
        <v>0.72</v>
      </c>
      <c r="AI10" s="58">
        <v>0.72</v>
      </c>
      <c r="AJ10" s="58">
        <v>0.72</v>
      </c>
      <c r="AK10" s="58">
        <v>0.72</v>
      </c>
      <c r="AL10" s="58">
        <v>0.74</v>
      </c>
      <c r="AM10" s="58">
        <v>0.75</v>
      </c>
      <c r="AN10" s="58">
        <v>0.74</v>
      </c>
      <c r="AO10" s="58">
        <v>0.75</v>
      </c>
      <c r="AP10" s="58">
        <v>0.75</v>
      </c>
      <c r="AQ10" s="58">
        <v>0.75</v>
      </c>
      <c r="AR10" s="58">
        <v>0.73</v>
      </c>
      <c r="AS10" s="58">
        <v>0.73</v>
      </c>
      <c r="AT10" s="58">
        <v>0.75</v>
      </c>
      <c r="AU10" s="58">
        <v>0.75</v>
      </c>
      <c r="AV10" s="58">
        <v>0.75</v>
      </c>
      <c r="AW10" s="58">
        <v>0.74</v>
      </c>
      <c r="AX10" s="58">
        <v>0.75</v>
      </c>
      <c r="AY10" s="58">
        <v>0.75</v>
      </c>
      <c r="AZ10" s="58">
        <v>0.75</v>
      </c>
      <c r="BA10" s="58">
        <v>0.75</v>
      </c>
      <c r="BB10" s="58">
        <v>0.74</v>
      </c>
      <c r="BC10" s="58">
        <v>0.74</v>
      </c>
      <c r="BD10" s="58">
        <v>0.73</v>
      </c>
      <c r="BE10" s="58">
        <v>0.74</v>
      </c>
      <c r="BF10" s="58">
        <v>0.74</v>
      </c>
      <c r="BG10" s="58">
        <v>0.73</v>
      </c>
      <c r="BH10" s="58">
        <v>0.72</v>
      </c>
      <c r="BI10" s="58">
        <v>0.72</v>
      </c>
      <c r="BJ10" s="58">
        <v>0.76</v>
      </c>
      <c r="BK10" s="58">
        <v>0.76</v>
      </c>
      <c r="BL10" s="58">
        <v>0.73</v>
      </c>
      <c r="BM10" s="58">
        <v>0.73</v>
      </c>
      <c r="BN10" s="58">
        <v>0.76</v>
      </c>
      <c r="BO10" s="58">
        <v>0.76</v>
      </c>
      <c r="BP10" s="60">
        <f t="shared" si="0"/>
        <v>0.73818181818181827</v>
      </c>
      <c r="BQ10" s="60">
        <f t="shared" si="0"/>
        <v>0.73848484848484852</v>
      </c>
      <c r="BR10" s="58"/>
      <c r="BS10" s="34"/>
    </row>
    <row r="11" spans="1:71" ht="30" customHeight="1" x14ac:dyDescent="0.3">
      <c r="A11" s="13" t="s">
        <v>668</v>
      </c>
      <c r="B11" s="58">
        <v>0.56000000000000005</v>
      </c>
      <c r="C11" s="58">
        <v>0.56999999999999995</v>
      </c>
      <c r="D11" s="58">
        <v>0.7</v>
      </c>
      <c r="E11" s="58">
        <v>0.69</v>
      </c>
      <c r="F11" s="58">
        <v>0.55000000000000004</v>
      </c>
      <c r="G11" s="58">
        <v>0.55000000000000004</v>
      </c>
      <c r="H11" s="58">
        <v>0.64</v>
      </c>
      <c r="I11" s="58">
        <v>0.63</v>
      </c>
      <c r="J11" s="58">
        <v>0.64</v>
      </c>
      <c r="K11" s="58">
        <v>0.63</v>
      </c>
      <c r="L11" s="58">
        <v>0.62</v>
      </c>
      <c r="M11" s="58">
        <v>0.63</v>
      </c>
      <c r="N11" s="58">
        <v>0.62</v>
      </c>
      <c r="O11" s="58">
        <v>0.62</v>
      </c>
      <c r="P11" s="58">
        <v>0.65</v>
      </c>
      <c r="Q11" s="58">
        <v>0.65</v>
      </c>
      <c r="R11" s="58">
        <v>0.59</v>
      </c>
      <c r="S11" s="58">
        <v>0.6</v>
      </c>
      <c r="T11" s="58">
        <v>0.49</v>
      </c>
      <c r="U11" s="58">
        <v>0.51</v>
      </c>
      <c r="V11" s="58">
        <v>0.56999999999999995</v>
      </c>
      <c r="W11" s="58">
        <v>0.57999999999999996</v>
      </c>
      <c r="X11" s="58">
        <v>0.61</v>
      </c>
      <c r="Y11" s="58">
        <v>0.63</v>
      </c>
      <c r="Z11" s="58">
        <v>0.53</v>
      </c>
      <c r="AA11" s="58">
        <v>0.52</v>
      </c>
      <c r="AB11" s="58">
        <v>0.64</v>
      </c>
      <c r="AC11" s="58">
        <v>0.65</v>
      </c>
      <c r="AD11" s="58">
        <v>0.56000000000000005</v>
      </c>
      <c r="AE11" s="58">
        <v>0.56000000000000005</v>
      </c>
      <c r="AF11" s="58">
        <v>0.71</v>
      </c>
      <c r="AG11" s="58">
        <v>0.72</v>
      </c>
      <c r="AH11" s="58">
        <v>0.54</v>
      </c>
      <c r="AI11" s="58">
        <v>0.54</v>
      </c>
      <c r="AJ11" s="58">
        <v>0.56999999999999995</v>
      </c>
      <c r="AK11" s="58">
        <v>0.57999999999999996</v>
      </c>
      <c r="AL11" s="58">
        <v>0.6</v>
      </c>
      <c r="AM11" s="58">
        <v>0.59</v>
      </c>
      <c r="AN11" s="58">
        <v>0.63</v>
      </c>
      <c r="AO11" s="58">
        <v>0.64</v>
      </c>
      <c r="AP11" s="58">
        <v>0.67</v>
      </c>
      <c r="AQ11" s="58">
        <v>0.64</v>
      </c>
      <c r="AR11" s="58">
        <v>0.67</v>
      </c>
      <c r="AS11" s="58">
        <v>0.67</v>
      </c>
      <c r="AT11" s="58">
        <v>0.66</v>
      </c>
      <c r="AU11" s="58">
        <v>0.66</v>
      </c>
      <c r="AV11" s="58">
        <v>0.65</v>
      </c>
      <c r="AW11" s="58">
        <v>0.64</v>
      </c>
      <c r="AX11" s="58">
        <v>0.56999999999999995</v>
      </c>
      <c r="AY11" s="58">
        <v>0.57999999999999996</v>
      </c>
      <c r="AZ11" s="58">
        <v>0.66</v>
      </c>
      <c r="BA11" s="58">
        <v>0.65</v>
      </c>
      <c r="BB11" s="58">
        <v>0.61</v>
      </c>
      <c r="BC11" s="58">
        <v>0.61</v>
      </c>
      <c r="BD11" s="58">
        <v>0.59</v>
      </c>
      <c r="BE11" s="58">
        <v>0.6</v>
      </c>
      <c r="BF11" s="58">
        <v>0.56999999999999995</v>
      </c>
      <c r="BG11" s="58">
        <v>0.59</v>
      </c>
      <c r="BH11" s="58">
        <v>0.63</v>
      </c>
      <c r="BI11" s="58">
        <v>0.61</v>
      </c>
      <c r="BJ11" s="58">
        <v>0.62</v>
      </c>
      <c r="BK11" s="58">
        <v>0.63</v>
      </c>
      <c r="BL11" s="58">
        <v>0.56999999999999995</v>
      </c>
      <c r="BM11" s="58">
        <v>0.56000000000000005</v>
      </c>
      <c r="BN11" s="58">
        <v>0.7</v>
      </c>
      <c r="BO11" s="58">
        <v>0.69</v>
      </c>
      <c r="BP11" s="60">
        <f t="shared" si="0"/>
        <v>0.61181818181818193</v>
      </c>
      <c r="BQ11" s="60">
        <f t="shared" si="0"/>
        <v>0.61272727272727279</v>
      </c>
      <c r="BR11" s="58"/>
      <c r="BS11" s="34"/>
    </row>
  </sheetData>
  <mergeCells count="40">
    <mergeCell ref="A1:BS1"/>
    <mergeCell ref="A2:BS2"/>
    <mergeCell ref="A3:A4"/>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P3:BP4"/>
    <mergeCell ref="BQ3:BQ4"/>
    <mergeCell ref="BR3:BR4"/>
    <mergeCell ref="BS3:BS4"/>
    <mergeCell ref="BF3:BG3"/>
    <mergeCell ref="BH3:BI3"/>
    <mergeCell ref="BJ3:BK3"/>
    <mergeCell ref="BL3:BM3"/>
    <mergeCell ref="BN3:BO3"/>
  </mergeCells>
  <conditionalFormatting sqref="C5:C11">
    <cfRule type="cellIs" dxfId="142" priority="1" operator="greaterThan">
      <formula>B5</formula>
    </cfRule>
  </conditionalFormatting>
  <conditionalFormatting sqref="E5:E11">
    <cfRule type="cellIs" dxfId="141" priority="2" operator="greaterThan">
      <formula>D5</formula>
    </cfRule>
  </conditionalFormatting>
  <conditionalFormatting sqref="G5:G11">
    <cfRule type="cellIs" dxfId="140" priority="3" operator="greaterThan">
      <formula>F5</formula>
    </cfRule>
  </conditionalFormatting>
  <conditionalFormatting sqref="I5:I11">
    <cfRule type="cellIs" dxfId="139" priority="4" operator="greaterThan">
      <formula>H5</formula>
    </cfRule>
  </conditionalFormatting>
  <conditionalFormatting sqref="K5:K11">
    <cfRule type="cellIs" dxfId="138" priority="5" operator="greaterThan">
      <formula>J5</formula>
    </cfRule>
  </conditionalFormatting>
  <conditionalFormatting sqref="M5:M11">
    <cfRule type="cellIs" dxfId="137" priority="6" operator="greaterThan">
      <formula>L5</formula>
    </cfRule>
  </conditionalFormatting>
  <conditionalFormatting sqref="O5:O11">
    <cfRule type="cellIs" dxfId="136" priority="7" operator="greaterThan">
      <formula>N5</formula>
    </cfRule>
  </conditionalFormatting>
  <conditionalFormatting sqref="Q5:Q11">
    <cfRule type="cellIs" dxfId="135" priority="8" operator="greaterThan">
      <formula>P5</formula>
    </cfRule>
  </conditionalFormatting>
  <conditionalFormatting sqref="S5:S11">
    <cfRule type="cellIs" dxfId="134" priority="9" operator="greaterThan">
      <formula>R5</formula>
    </cfRule>
  </conditionalFormatting>
  <conditionalFormatting sqref="U5:U11">
    <cfRule type="cellIs" dxfId="133" priority="10" operator="greaterThan">
      <formula>T5</formula>
    </cfRule>
  </conditionalFormatting>
  <conditionalFormatting sqref="W5:W11">
    <cfRule type="cellIs" dxfId="132" priority="11" operator="greaterThan">
      <formula>V5</formula>
    </cfRule>
  </conditionalFormatting>
  <conditionalFormatting sqref="Y5:Y11">
    <cfRule type="cellIs" dxfId="131" priority="12" operator="greaterThan">
      <formula>X5</formula>
    </cfRule>
  </conditionalFormatting>
  <conditionalFormatting sqref="AA5:AA11">
    <cfRule type="cellIs" dxfId="130" priority="13" operator="greaterThan">
      <formula>Z5</formula>
    </cfRule>
  </conditionalFormatting>
  <conditionalFormatting sqref="AC5:AC11">
    <cfRule type="cellIs" dxfId="129" priority="14" operator="greaterThan">
      <formula>AB5</formula>
    </cfRule>
  </conditionalFormatting>
  <conditionalFormatting sqref="AE5:AE11">
    <cfRule type="cellIs" dxfId="128" priority="15" operator="greaterThan">
      <formula>AD5</formula>
    </cfRule>
  </conditionalFormatting>
  <conditionalFormatting sqref="AG5:AG11">
    <cfRule type="cellIs" dxfId="127" priority="16" operator="greaterThan">
      <formula>AF5</formula>
    </cfRule>
  </conditionalFormatting>
  <conditionalFormatting sqref="AI5:AI11">
    <cfRule type="cellIs" dxfId="126" priority="17" operator="greaterThan">
      <formula>AH5</formula>
    </cfRule>
  </conditionalFormatting>
  <conditionalFormatting sqref="AK5:AK11">
    <cfRule type="cellIs" dxfId="125" priority="18" operator="greaterThan">
      <formula>AJ5</formula>
    </cfRule>
  </conditionalFormatting>
  <conditionalFormatting sqref="AM5:AM11">
    <cfRule type="cellIs" dxfId="124" priority="19" operator="greaterThan">
      <formula>AL5</formula>
    </cfRule>
  </conditionalFormatting>
  <conditionalFormatting sqref="AO5:AO11">
    <cfRule type="cellIs" dxfId="123" priority="20" operator="greaterThan">
      <formula>AN5</formula>
    </cfRule>
  </conditionalFormatting>
  <conditionalFormatting sqref="AQ5:AQ11">
    <cfRule type="cellIs" dxfId="122" priority="21" operator="greaterThan">
      <formula>AP5</formula>
    </cfRule>
  </conditionalFormatting>
  <conditionalFormatting sqref="AS5:AS11">
    <cfRule type="cellIs" dxfId="121" priority="22" operator="greaterThan">
      <formula>AR5</formula>
    </cfRule>
  </conditionalFormatting>
  <conditionalFormatting sqref="AU5:AU11">
    <cfRule type="cellIs" dxfId="120" priority="23" operator="greaterThan">
      <formula>AT5</formula>
    </cfRule>
  </conditionalFormatting>
  <conditionalFormatting sqref="AW5:AW11">
    <cfRule type="cellIs" dxfId="119" priority="24" operator="greaterThan">
      <formula>AV5</formula>
    </cfRule>
  </conditionalFormatting>
  <conditionalFormatting sqref="AY5:AY11">
    <cfRule type="cellIs" dxfId="118" priority="25" operator="greaterThan">
      <formula>AX5</formula>
    </cfRule>
  </conditionalFormatting>
  <conditionalFormatting sqref="BA5:BA11">
    <cfRule type="cellIs" dxfId="117" priority="26" operator="greaterThan">
      <formula>AZ5</formula>
    </cfRule>
  </conditionalFormatting>
  <conditionalFormatting sqref="BC5:BC11">
    <cfRule type="cellIs" dxfId="116" priority="27" operator="greaterThan">
      <formula>BB5</formula>
    </cfRule>
  </conditionalFormatting>
  <conditionalFormatting sqref="BE5:BE11">
    <cfRule type="cellIs" dxfId="115" priority="28" operator="greaterThan">
      <formula>BD5</formula>
    </cfRule>
  </conditionalFormatting>
  <conditionalFormatting sqref="BG5:BG11">
    <cfRule type="cellIs" dxfId="114" priority="29" operator="greaterThan">
      <formula>BF5</formula>
    </cfRule>
  </conditionalFormatting>
  <conditionalFormatting sqref="BI5:BI11">
    <cfRule type="cellIs" dxfId="113" priority="30" operator="greaterThan">
      <formula>BH5</formula>
    </cfRule>
  </conditionalFormatting>
  <conditionalFormatting sqref="BK5:BK11">
    <cfRule type="cellIs" dxfId="112" priority="31" operator="greaterThan">
      <formula>BJ5</formula>
    </cfRule>
  </conditionalFormatting>
  <conditionalFormatting sqref="BM5:BM11">
    <cfRule type="cellIs" dxfId="111" priority="32" operator="greaterThan">
      <formula>BL5</formula>
    </cfRule>
  </conditionalFormatting>
  <conditionalFormatting sqref="BO5:BO11">
    <cfRule type="cellIs" dxfId="110" priority="33" operator="greaterThan">
      <formula>BN5</formula>
    </cfRule>
  </conditionalFormatting>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2" tint="-0.749992370372631"/>
  </sheetPr>
  <dimension ref="A1:BS13"/>
  <sheetViews>
    <sheetView showGridLines="0" zoomScaleNormal="100" workbookViewId="0">
      <selection activeCell="F10" sqref="F10"/>
    </sheetView>
  </sheetViews>
  <sheetFormatPr defaultColWidth="8.6640625" defaultRowHeight="15.6" x14ac:dyDescent="0.3"/>
  <cols>
    <col min="1" max="1" width="42" style="11" customWidth="1"/>
    <col min="2" max="67" width="8" style="11" customWidth="1"/>
    <col min="68" max="69" width="13" style="11" customWidth="1"/>
    <col min="70" max="70" width="11" style="11" customWidth="1"/>
    <col min="71" max="71" width="45" style="11" customWidth="1"/>
    <col min="72" max="16384" width="8.6640625" style="11"/>
  </cols>
  <sheetData>
    <row r="1" spans="1:71" ht="25.5" customHeight="1" x14ac:dyDescent="0.3">
      <c r="A1" s="102" t="s">
        <v>795</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row>
    <row r="2" spans="1:71" x14ac:dyDescent="0.3">
      <c r="A2" s="80" t="s">
        <v>669</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row>
    <row r="3" spans="1:71" ht="30" customHeight="1" x14ac:dyDescent="0.3">
      <c r="A3" s="101" t="s">
        <v>646</v>
      </c>
      <c r="B3" s="101" t="str">
        <f>Districts_Setup!$B$4</f>
        <v>Ahmedabad</v>
      </c>
      <c r="C3" s="101"/>
      <c r="D3" s="101" t="str">
        <f>Districts_Setup!$B$5</f>
        <v>Amreli</v>
      </c>
      <c r="E3" s="101"/>
      <c r="F3" s="101" t="str">
        <f>Districts_Setup!$B$6</f>
        <v>Anand</v>
      </c>
      <c r="G3" s="101"/>
      <c r="H3" s="101" t="str">
        <f>Districts_Setup!$B$7</f>
        <v>Aravalli</v>
      </c>
      <c r="I3" s="101"/>
      <c r="J3" s="101" t="str">
        <f>Districts_Setup!$B$8</f>
        <v>Banaskantha</v>
      </c>
      <c r="K3" s="101"/>
      <c r="L3" s="101" t="str">
        <f>Districts_Setup!$B$9</f>
        <v>Bharuch</v>
      </c>
      <c r="M3" s="101"/>
      <c r="N3" s="101" t="str">
        <f>Districts_Setup!$B$10</f>
        <v>Bhavnagar</v>
      </c>
      <c r="O3" s="101"/>
      <c r="P3" s="101" t="str">
        <f>Districts_Setup!$B$11</f>
        <v>Botad</v>
      </c>
      <c r="Q3" s="101"/>
      <c r="R3" s="101" t="str">
        <f>Districts_Setup!$B$12</f>
        <v>Chhota Udepur</v>
      </c>
      <c r="S3" s="101"/>
      <c r="T3" s="101" t="str">
        <f>Districts_Setup!$B$13</f>
        <v>Dahod</v>
      </c>
      <c r="U3" s="101"/>
      <c r="V3" s="101" t="str">
        <f>Districts_Setup!$B$14</f>
        <v>Dang</v>
      </c>
      <c r="W3" s="101"/>
      <c r="X3" s="101" t="str">
        <f>Districts_Setup!$B$15</f>
        <v>Devbhoomi Dwarka</v>
      </c>
      <c r="Y3" s="101"/>
      <c r="Z3" s="101" t="str">
        <f>Districts_Setup!$B$16</f>
        <v>Gandhinagar</v>
      </c>
      <c r="AA3" s="101"/>
      <c r="AB3" s="101" t="str">
        <f>Districts_Setup!$B$17</f>
        <v>Gir Somnath</v>
      </c>
      <c r="AC3" s="101"/>
      <c r="AD3" s="101" t="str">
        <f>Districts_Setup!$B$18</f>
        <v>Jamnagar</v>
      </c>
      <c r="AE3" s="101"/>
      <c r="AF3" s="101" t="str">
        <f>Districts_Setup!$B$19</f>
        <v>Junagadh</v>
      </c>
      <c r="AG3" s="101"/>
      <c r="AH3" s="101" t="str">
        <f>Districts_Setup!$B$20</f>
        <v>Kutch</v>
      </c>
      <c r="AI3" s="101"/>
      <c r="AJ3" s="101" t="str">
        <f>Districts_Setup!$B$21</f>
        <v>Kheda</v>
      </c>
      <c r="AK3" s="101"/>
      <c r="AL3" s="101" t="str">
        <f>Districts_Setup!$B$22</f>
        <v>Mahisagar</v>
      </c>
      <c r="AM3" s="101"/>
      <c r="AN3" s="101" t="str">
        <f>Districts_Setup!$B$23</f>
        <v>Mehsana</v>
      </c>
      <c r="AO3" s="101"/>
      <c r="AP3" s="101" t="str">
        <f>Districts_Setup!$B$24</f>
        <v>Morbi</v>
      </c>
      <c r="AQ3" s="101"/>
      <c r="AR3" s="101" t="str">
        <f>Districts_Setup!$B$25</f>
        <v>Narmada</v>
      </c>
      <c r="AS3" s="101"/>
      <c r="AT3" s="101" t="str">
        <f>Districts_Setup!$B$26</f>
        <v>Navsari</v>
      </c>
      <c r="AU3" s="101"/>
      <c r="AV3" s="101" t="str">
        <f>Districts_Setup!$B$27</f>
        <v>Panchmahal</v>
      </c>
      <c r="AW3" s="101"/>
      <c r="AX3" s="101" t="str">
        <f>Districts_Setup!$B$28</f>
        <v>Patan</v>
      </c>
      <c r="AY3" s="101"/>
      <c r="AZ3" s="101" t="str">
        <f>Districts_Setup!$B$29</f>
        <v>Porbandar</v>
      </c>
      <c r="BA3" s="101"/>
      <c r="BB3" s="101" t="str">
        <f>Districts_Setup!$B$30</f>
        <v>Rajkot</v>
      </c>
      <c r="BC3" s="101"/>
      <c r="BD3" s="101" t="str">
        <f>Districts_Setup!$B$31</f>
        <v>Sabarkantha</v>
      </c>
      <c r="BE3" s="101"/>
      <c r="BF3" s="101" t="str">
        <f>Districts_Setup!$B$32</f>
        <v>Surat</v>
      </c>
      <c r="BG3" s="101"/>
      <c r="BH3" s="101" t="str">
        <f>Districts_Setup!$B$33</f>
        <v>Surendranagar</v>
      </c>
      <c r="BI3" s="101"/>
      <c r="BJ3" s="101" t="str">
        <f>Districts_Setup!$B$34</f>
        <v>Tapi</v>
      </c>
      <c r="BK3" s="101"/>
      <c r="BL3" s="101" t="str">
        <f>Districts_Setup!$B$35</f>
        <v>Vadodara</v>
      </c>
      <c r="BM3" s="101"/>
      <c r="BN3" s="101" t="str">
        <f>Districts_Setup!$B$36</f>
        <v>Valsad</v>
      </c>
      <c r="BO3" s="101"/>
      <c r="BP3" s="100" t="s">
        <v>647</v>
      </c>
      <c r="BQ3" s="100" t="s">
        <v>648</v>
      </c>
      <c r="BR3" s="100" t="s">
        <v>649</v>
      </c>
      <c r="BS3" s="100" t="s">
        <v>484</v>
      </c>
    </row>
    <row r="4" spans="1:71" ht="45" customHeight="1" x14ac:dyDescent="0.3">
      <c r="A4" s="101"/>
      <c r="B4" s="66" t="s">
        <v>650</v>
      </c>
      <c r="C4" s="66" t="s">
        <v>651</v>
      </c>
      <c r="D4" s="66" t="s">
        <v>650</v>
      </c>
      <c r="E4" s="66" t="s">
        <v>651</v>
      </c>
      <c r="F4" s="66" t="s">
        <v>650</v>
      </c>
      <c r="G4" s="66" t="s">
        <v>651</v>
      </c>
      <c r="H4" s="66" t="s">
        <v>650</v>
      </c>
      <c r="I4" s="66" t="s">
        <v>651</v>
      </c>
      <c r="J4" s="66" t="s">
        <v>650</v>
      </c>
      <c r="K4" s="66" t="s">
        <v>651</v>
      </c>
      <c r="L4" s="66" t="s">
        <v>650</v>
      </c>
      <c r="M4" s="66" t="s">
        <v>651</v>
      </c>
      <c r="N4" s="66" t="s">
        <v>650</v>
      </c>
      <c r="O4" s="66" t="s">
        <v>651</v>
      </c>
      <c r="P4" s="66" t="s">
        <v>650</v>
      </c>
      <c r="Q4" s="66" t="s">
        <v>651</v>
      </c>
      <c r="R4" s="66" t="s">
        <v>650</v>
      </c>
      <c r="S4" s="66" t="s">
        <v>651</v>
      </c>
      <c r="T4" s="66" t="s">
        <v>650</v>
      </c>
      <c r="U4" s="66" t="s">
        <v>651</v>
      </c>
      <c r="V4" s="66" t="s">
        <v>650</v>
      </c>
      <c r="W4" s="66" t="s">
        <v>651</v>
      </c>
      <c r="X4" s="66" t="s">
        <v>650</v>
      </c>
      <c r="Y4" s="66" t="s">
        <v>651</v>
      </c>
      <c r="Z4" s="66" t="s">
        <v>650</v>
      </c>
      <c r="AA4" s="66" t="s">
        <v>651</v>
      </c>
      <c r="AB4" s="66" t="s">
        <v>650</v>
      </c>
      <c r="AC4" s="66" t="s">
        <v>651</v>
      </c>
      <c r="AD4" s="66" t="s">
        <v>650</v>
      </c>
      <c r="AE4" s="66" t="s">
        <v>651</v>
      </c>
      <c r="AF4" s="66" t="s">
        <v>650</v>
      </c>
      <c r="AG4" s="66" t="s">
        <v>651</v>
      </c>
      <c r="AH4" s="66" t="s">
        <v>650</v>
      </c>
      <c r="AI4" s="66" t="s">
        <v>651</v>
      </c>
      <c r="AJ4" s="66" t="s">
        <v>650</v>
      </c>
      <c r="AK4" s="66" t="s">
        <v>651</v>
      </c>
      <c r="AL4" s="66" t="s">
        <v>650</v>
      </c>
      <c r="AM4" s="66" t="s">
        <v>651</v>
      </c>
      <c r="AN4" s="66" t="s">
        <v>650</v>
      </c>
      <c r="AO4" s="66" t="s">
        <v>651</v>
      </c>
      <c r="AP4" s="66" t="s">
        <v>650</v>
      </c>
      <c r="AQ4" s="66" t="s">
        <v>651</v>
      </c>
      <c r="AR4" s="66" t="s">
        <v>650</v>
      </c>
      <c r="AS4" s="66" t="s">
        <v>651</v>
      </c>
      <c r="AT4" s="66" t="s">
        <v>650</v>
      </c>
      <c r="AU4" s="66" t="s">
        <v>651</v>
      </c>
      <c r="AV4" s="66" t="s">
        <v>650</v>
      </c>
      <c r="AW4" s="66" t="s">
        <v>651</v>
      </c>
      <c r="AX4" s="66" t="s">
        <v>650</v>
      </c>
      <c r="AY4" s="66" t="s">
        <v>651</v>
      </c>
      <c r="AZ4" s="66" t="s">
        <v>650</v>
      </c>
      <c r="BA4" s="66" t="s">
        <v>651</v>
      </c>
      <c r="BB4" s="66" t="s">
        <v>650</v>
      </c>
      <c r="BC4" s="66" t="s">
        <v>651</v>
      </c>
      <c r="BD4" s="66" t="s">
        <v>650</v>
      </c>
      <c r="BE4" s="66" t="s">
        <v>651</v>
      </c>
      <c r="BF4" s="66" t="s">
        <v>650</v>
      </c>
      <c r="BG4" s="66" t="s">
        <v>651</v>
      </c>
      <c r="BH4" s="66" t="s">
        <v>650</v>
      </c>
      <c r="BI4" s="66" t="s">
        <v>651</v>
      </c>
      <c r="BJ4" s="66" t="s">
        <v>650</v>
      </c>
      <c r="BK4" s="66" t="s">
        <v>651</v>
      </c>
      <c r="BL4" s="66" t="s">
        <v>650</v>
      </c>
      <c r="BM4" s="66" t="s">
        <v>651</v>
      </c>
      <c r="BN4" s="66" t="s">
        <v>650</v>
      </c>
      <c r="BO4" s="66" t="s">
        <v>651</v>
      </c>
      <c r="BP4" s="100"/>
      <c r="BQ4" s="100"/>
      <c r="BR4" s="100"/>
      <c r="BS4" s="100"/>
    </row>
    <row r="5" spans="1:71" ht="30" customHeight="1" x14ac:dyDescent="0.3">
      <c r="A5" s="13" t="s">
        <v>670</v>
      </c>
      <c r="B5" s="58">
        <v>0.34692307692307689</v>
      </c>
      <c r="C5" s="58">
        <v>0.33307692307692299</v>
      </c>
      <c r="D5" s="58">
        <v>0.39846153846153848</v>
      </c>
      <c r="E5" s="58">
        <v>0.35923076923076919</v>
      </c>
      <c r="F5" s="58">
        <v>0.36538461538461542</v>
      </c>
      <c r="G5" s="58">
        <v>0.35615384615384621</v>
      </c>
      <c r="H5" s="58">
        <v>0.38538461538461538</v>
      </c>
      <c r="I5" s="58">
        <v>0.35307692307692312</v>
      </c>
      <c r="J5" s="58">
        <v>0.33538461538461539</v>
      </c>
      <c r="K5" s="58">
        <v>0.35692307692307701</v>
      </c>
      <c r="L5" s="58">
        <v>0.36153846153846148</v>
      </c>
      <c r="M5" s="58">
        <v>0.34615384615384609</v>
      </c>
      <c r="N5" s="58">
        <v>0.38384615384615389</v>
      </c>
      <c r="O5" s="58">
        <v>0.36153846153846148</v>
      </c>
      <c r="P5" s="58">
        <v>0.38538461538461538</v>
      </c>
      <c r="Q5" s="58">
        <v>0.35846153846153839</v>
      </c>
      <c r="R5" s="58">
        <v>0.41615384615384621</v>
      </c>
      <c r="S5" s="58">
        <v>0.33692307692307688</v>
      </c>
      <c r="T5" s="58">
        <v>0.39384615384615379</v>
      </c>
      <c r="U5" s="58">
        <v>0.32076923076923081</v>
      </c>
      <c r="V5" s="58">
        <v>0.42461538461538462</v>
      </c>
      <c r="W5" s="58">
        <v>0.3707692307692308</v>
      </c>
      <c r="X5" s="58">
        <v>0.37538461538461543</v>
      </c>
      <c r="Y5" s="58">
        <v>0.32461538461538458</v>
      </c>
      <c r="Z5" s="58">
        <v>0.32538461538461538</v>
      </c>
      <c r="AA5" s="58">
        <v>0.33153846153846162</v>
      </c>
      <c r="AB5" s="58">
        <v>0.37846153846153852</v>
      </c>
      <c r="AC5" s="58">
        <v>0.34923076923076918</v>
      </c>
      <c r="AD5" s="58">
        <v>0.3453846153846154</v>
      </c>
      <c r="AE5" s="58">
        <v>0.33538461538461539</v>
      </c>
      <c r="AF5" s="58">
        <v>0.37692307692307692</v>
      </c>
      <c r="AG5" s="58">
        <v>0.36</v>
      </c>
      <c r="AH5" s="58">
        <v>0.34307692307692311</v>
      </c>
      <c r="AI5" s="58">
        <v>0.30538461538461542</v>
      </c>
      <c r="AJ5" s="58">
        <v>0.35692307692307701</v>
      </c>
      <c r="AK5" s="58">
        <v>0.31153846153846149</v>
      </c>
      <c r="AL5" s="58">
        <v>0.38153846153846149</v>
      </c>
      <c r="AM5" s="58">
        <v>0.3707692307692308</v>
      </c>
      <c r="AN5" s="58">
        <v>0.36846153846153851</v>
      </c>
      <c r="AO5" s="58">
        <v>0.33769230769230768</v>
      </c>
      <c r="AP5" s="58">
        <v>0.37</v>
      </c>
      <c r="AQ5" s="58">
        <v>0.36384615384615387</v>
      </c>
      <c r="AR5" s="58">
        <v>0.37615384615384612</v>
      </c>
      <c r="AS5" s="58">
        <v>0.32384615384615389</v>
      </c>
      <c r="AT5" s="58">
        <v>0.37461538461538457</v>
      </c>
      <c r="AU5" s="58">
        <v>0.36307692307692307</v>
      </c>
      <c r="AV5" s="58">
        <v>0.33692307692307688</v>
      </c>
      <c r="AW5" s="58">
        <v>0.34230769230769231</v>
      </c>
      <c r="AX5" s="58">
        <v>0.37769230769230772</v>
      </c>
      <c r="AY5" s="58">
        <v>0.34923076923076918</v>
      </c>
      <c r="AZ5" s="58">
        <v>0.3807692307692308</v>
      </c>
      <c r="BA5" s="58">
        <v>0.36846153846153851</v>
      </c>
      <c r="BB5" s="58">
        <v>0.33846153846153848</v>
      </c>
      <c r="BC5" s="58">
        <v>0.31769230769230772</v>
      </c>
      <c r="BD5" s="58">
        <v>0.39076923076923081</v>
      </c>
      <c r="BE5" s="58">
        <v>0.33923076923076922</v>
      </c>
      <c r="BF5" s="58">
        <v>0.34769230769230769</v>
      </c>
      <c r="BG5" s="58">
        <v>0.29923076923076919</v>
      </c>
      <c r="BH5" s="58">
        <v>0.38153846153846149</v>
      </c>
      <c r="BI5" s="58">
        <v>0.39461538461538459</v>
      </c>
      <c r="BJ5" s="58">
        <v>0.38538461538461538</v>
      </c>
      <c r="BK5" s="58">
        <v>0.33384615384615379</v>
      </c>
      <c r="BL5" s="58">
        <v>0.32923076923076922</v>
      </c>
      <c r="BM5" s="58">
        <v>0.34384615384615391</v>
      </c>
      <c r="BN5" s="58">
        <v>0.36846153846153851</v>
      </c>
      <c r="BO5" s="58">
        <v>0.34307692307692311</v>
      </c>
      <c r="BP5" s="60">
        <f t="shared" ref="BP5:BP13" si="0">IFERROR(AVERAGE(B5,D5,F5,H5,J5,L5,N5,P5,R5,T5,V5,X5,Z5,AB5,AD5,AF5,AH5,AJ5,AL5,AN5,AP5,AR5,AT5,AV5,AX5,AZ5,BB5,BD5,BF5,BH5,BJ5,BL5,BN5),0)</f>
        <v>0.36988344988344984</v>
      </c>
      <c r="BQ5" s="60">
        <f t="shared" ref="BQ5:BQ13" si="1">IFERROR(AVERAGE(C5,E5,G5,I5,K5,M5,O5,Q5,S5,U5,W5,Y5,AA5,AC5,AE5,AG5,AI5,AK5,AM5,AO5,AQ5,AS5,AU5,AW5,AY5,BA5,BC5,BE5,BG5,BI5,BK5,BM5,BO5),0)</f>
        <v>0.34428904428904428</v>
      </c>
      <c r="BR5" s="58"/>
      <c r="BS5" s="34" t="s">
        <v>653</v>
      </c>
    </row>
    <row r="6" spans="1:71" ht="30" customHeight="1" x14ac:dyDescent="0.3">
      <c r="A6" s="13" t="s">
        <v>671</v>
      </c>
      <c r="B6" s="58">
        <v>0.42</v>
      </c>
      <c r="C6" s="58">
        <v>0.40749999999999997</v>
      </c>
      <c r="D6" s="58">
        <v>0.41749999999999998</v>
      </c>
      <c r="E6" s="58">
        <v>0.44750000000000001</v>
      </c>
      <c r="F6" s="58">
        <v>0.36499999999999999</v>
      </c>
      <c r="G6" s="58">
        <v>0.42499999999999999</v>
      </c>
      <c r="H6" s="58">
        <v>0.34749999999999998</v>
      </c>
      <c r="I6" s="58">
        <v>0.44</v>
      </c>
      <c r="J6" s="58">
        <v>0.38</v>
      </c>
      <c r="K6" s="58">
        <v>0.435</v>
      </c>
      <c r="L6" s="58">
        <v>0.42</v>
      </c>
      <c r="M6" s="58">
        <v>0.43</v>
      </c>
      <c r="N6" s="58">
        <v>0.39750000000000002</v>
      </c>
      <c r="O6" s="58">
        <v>0.435</v>
      </c>
      <c r="P6" s="58">
        <v>0.375</v>
      </c>
      <c r="Q6" s="58">
        <v>0.40500000000000003</v>
      </c>
      <c r="R6" s="58">
        <v>0.33250000000000002</v>
      </c>
      <c r="S6" s="58">
        <v>0.42</v>
      </c>
      <c r="T6" s="58">
        <v>0.36749999999999999</v>
      </c>
      <c r="U6" s="58">
        <v>0.36</v>
      </c>
      <c r="V6" s="58">
        <v>0.26750000000000002</v>
      </c>
      <c r="W6" s="58">
        <v>0.40500000000000003</v>
      </c>
      <c r="X6" s="58">
        <v>0.38250000000000001</v>
      </c>
      <c r="Y6" s="58">
        <v>0.40250000000000002</v>
      </c>
      <c r="Z6" s="58">
        <v>0.36249999999999999</v>
      </c>
      <c r="AA6" s="58">
        <v>0.40749999999999997</v>
      </c>
      <c r="AB6" s="58">
        <v>0.39</v>
      </c>
      <c r="AC6" s="58">
        <v>0.435</v>
      </c>
      <c r="AD6" s="58">
        <v>0.43</v>
      </c>
      <c r="AE6" s="58">
        <v>0.46750000000000003</v>
      </c>
      <c r="AF6" s="58">
        <v>0.30499999999999999</v>
      </c>
      <c r="AG6" s="58">
        <v>0.3775</v>
      </c>
      <c r="AH6" s="58">
        <v>0.4325</v>
      </c>
      <c r="AI6" s="58">
        <v>0.42499999999999999</v>
      </c>
      <c r="AJ6" s="58">
        <v>0.33</v>
      </c>
      <c r="AK6" s="58">
        <v>0.41499999999999998</v>
      </c>
      <c r="AL6" s="58">
        <v>0.38500000000000001</v>
      </c>
      <c r="AM6" s="58">
        <v>0.39</v>
      </c>
      <c r="AN6" s="58">
        <v>0.33</v>
      </c>
      <c r="AO6" s="58">
        <v>0.42499999999999999</v>
      </c>
      <c r="AP6" s="58">
        <v>0.38500000000000001</v>
      </c>
      <c r="AQ6" s="58">
        <v>0.46750000000000003</v>
      </c>
      <c r="AR6" s="58">
        <v>0.35749999999999998</v>
      </c>
      <c r="AS6" s="58">
        <v>0.41499999999999998</v>
      </c>
      <c r="AT6" s="58">
        <v>0.41499999999999998</v>
      </c>
      <c r="AU6" s="58">
        <v>0.44500000000000001</v>
      </c>
      <c r="AV6" s="58">
        <v>0.39500000000000002</v>
      </c>
      <c r="AW6" s="58">
        <v>0.38</v>
      </c>
      <c r="AX6" s="58">
        <v>0.435</v>
      </c>
      <c r="AY6" s="58">
        <v>0.435</v>
      </c>
      <c r="AZ6" s="58">
        <v>0.41</v>
      </c>
      <c r="BA6" s="58">
        <v>0.4375</v>
      </c>
      <c r="BB6" s="58">
        <v>0.4375</v>
      </c>
      <c r="BC6" s="58">
        <v>0.46</v>
      </c>
      <c r="BD6" s="58">
        <v>0.38250000000000001</v>
      </c>
      <c r="BE6" s="58">
        <v>0.41249999999999998</v>
      </c>
      <c r="BF6" s="58">
        <v>0.39</v>
      </c>
      <c r="BG6" s="58">
        <v>0.41</v>
      </c>
      <c r="BH6" s="58">
        <v>0.375</v>
      </c>
      <c r="BI6" s="58">
        <v>0.3725</v>
      </c>
      <c r="BJ6" s="58">
        <v>0.46250000000000002</v>
      </c>
      <c r="BK6" s="58">
        <v>0.4375</v>
      </c>
      <c r="BL6" s="58">
        <v>0.42499999999999999</v>
      </c>
      <c r="BM6" s="58">
        <v>0.4425</v>
      </c>
      <c r="BN6" s="58">
        <v>0.36749999999999999</v>
      </c>
      <c r="BO6" s="58">
        <v>0.41749999999999998</v>
      </c>
      <c r="BP6" s="60">
        <f t="shared" si="0"/>
        <v>0.38409090909090909</v>
      </c>
      <c r="BQ6" s="60">
        <f t="shared" si="1"/>
        <v>0.42083333333333339</v>
      </c>
      <c r="BR6" s="58"/>
      <c r="BS6" s="34"/>
    </row>
    <row r="7" spans="1:71" ht="30" customHeight="1" x14ac:dyDescent="0.3">
      <c r="A7" s="13" t="s">
        <v>672</v>
      </c>
      <c r="B7" s="58">
        <v>0.68458333333333332</v>
      </c>
      <c r="C7" s="58">
        <v>0.49125000000000002</v>
      </c>
      <c r="D7" s="58">
        <v>0.67874999999999996</v>
      </c>
      <c r="E7" s="58">
        <v>0.5675</v>
      </c>
      <c r="F7" s="58">
        <v>0.67625000000000002</v>
      </c>
      <c r="G7" s="58">
        <v>0.5691666666666666</v>
      </c>
      <c r="H7" s="58">
        <v>0.59541666666666659</v>
      </c>
      <c r="I7" s="58">
        <v>0.46083333333333337</v>
      </c>
      <c r="J7" s="58">
        <v>0.67416666666666669</v>
      </c>
      <c r="K7" s="58">
        <v>0.42041666666666672</v>
      </c>
      <c r="L7" s="58">
        <v>0.70833333333333326</v>
      </c>
      <c r="M7" s="58">
        <v>0.60124999999999995</v>
      </c>
      <c r="N7" s="58">
        <v>0.71625000000000005</v>
      </c>
      <c r="O7" s="58">
        <v>0.48583333333333328</v>
      </c>
      <c r="P7" s="58">
        <v>0.73166666666666669</v>
      </c>
      <c r="Q7" s="58">
        <v>0.5245833333333334</v>
      </c>
      <c r="R7" s="58">
        <v>0.61291666666666667</v>
      </c>
      <c r="S7" s="58">
        <v>0.46</v>
      </c>
      <c r="T7" s="58">
        <v>0.66</v>
      </c>
      <c r="U7" s="58">
        <v>0.46708333333333341</v>
      </c>
      <c r="V7" s="58">
        <v>0.70166666666666666</v>
      </c>
      <c r="W7" s="58">
        <v>0.54708333333333337</v>
      </c>
      <c r="X7" s="58">
        <v>0.65083333333333326</v>
      </c>
      <c r="Y7" s="58">
        <v>0.50291666666666668</v>
      </c>
      <c r="Z7" s="58">
        <v>0.68208333333333326</v>
      </c>
      <c r="AA7" s="58">
        <v>0.50749999999999995</v>
      </c>
      <c r="AB7" s="58">
        <v>0.66208333333333325</v>
      </c>
      <c r="AC7" s="58">
        <v>0.49583333333333329</v>
      </c>
      <c r="AD7" s="58">
        <v>0.63208333333333333</v>
      </c>
      <c r="AE7" s="58">
        <v>0.51916666666666667</v>
      </c>
      <c r="AF7" s="58">
        <v>0.67583333333333329</v>
      </c>
      <c r="AG7" s="58">
        <v>0.51041666666666663</v>
      </c>
      <c r="AH7" s="58">
        <v>0.60250000000000004</v>
      </c>
      <c r="AI7" s="58">
        <v>0.45291666666666658</v>
      </c>
      <c r="AJ7" s="58">
        <v>0.67166666666666675</v>
      </c>
      <c r="AK7" s="58">
        <v>0.45874999999999999</v>
      </c>
      <c r="AL7" s="58">
        <v>0.62666666666666659</v>
      </c>
      <c r="AM7" s="58">
        <v>0.47499999999999998</v>
      </c>
      <c r="AN7" s="58">
        <v>0.68333333333333324</v>
      </c>
      <c r="AO7" s="58">
        <v>0.51458333333333339</v>
      </c>
      <c r="AP7" s="58">
        <v>0.69458333333333333</v>
      </c>
      <c r="AQ7" s="58">
        <v>0.51583333333333337</v>
      </c>
      <c r="AR7" s="58">
        <v>0.60875000000000001</v>
      </c>
      <c r="AS7" s="58">
        <v>0.56791666666666663</v>
      </c>
      <c r="AT7" s="58">
        <v>0.67874999999999996</v>
      </c>
      <c r="AU7" s="58">
        <v>0.59750000000000003</v>
      </c>
      <c r="AV7" s="58">
        <v>0.59083333333333332</v>
      </c>
      <c r="AW7" s="58">
        <v>0.49083333333333329</v>
      </c>
      <c r="AX7" s="58">
        <v>0.63249999999999995</v>
      </c>
      <c r="AY7" s="58">
        <v>0.45624999999999999</v>
      </c>
      <c r="AZ7" s="58">
        <v>0.64541666666666675</v>
      </c>
      <c r="BA7" s="58">
        <v>0.57208333333333339</v>
      </c>
      <c r="BB7" s="58">
        <v>0.64208333333333334</v>
      </c>
      <c r="BC7" s="58">
        <v>0.5245833333333334</v>
      </c>
      <c r="BD7" s="58">
        <v>0.64291666666666669</v>
      </c>
      <c r="BE7" s="58">
        <v>0.52</v>
      </c>
      <c r="BF7" s="58">
        <v>0.69791666666666674</v>
      </c>
      <c r="BG7" s="58">
        <v>0.47416666666666663</v>
      </c>
      <c r="BH7" s="58">
        <v>0.69</v>
      </c>
      <c r="BI7" s="58">
        <v>0.61083333333333334</v>
      </c>
      <c r="BJ7" s="58">
        <v>0.74791666666666667</v>
      </c>
      <c r="BK7" s="58">
        <v>0.62666666666666659</v>
      </c>
      <c r="BL7" s="58">
        <v>0.67333333333333334</v>
      </c>
      <c r="BM7" s="58">
        <v>0.51875000000000004</v>
      </c>
      <c r="BN7" s="58">
        <v>0.72833333333333328</v>
      </c>
      <c r="BO7" s="58">
        <v>0.5625</v>
      </c>
      <c r="BP7" s="60">
        <f t="shared" si="0"/>
        <v>0.66667929292929295</v>
      </c>
      <c r="BQ7" s="60">
        <f t="shared" si="1"/>
        <v>0.51727272727272733</v>
      </c>
      <c r="BR7" s="58"/>
      <c r="BS7" s="34"/>
    </row>
    <row r="8" spans="1:71" ht="30" customHeight="1" x14ac:dyDescent="0.3">
      <c r="A8" s="13" t="s">
        <v>673</v>
      </c>
      <c r="B8" s="58">
        <v>0.64222222222222225</v>
      </c>
      <c r="C8" s="58">
        <v>0.50333333333333341</v>
      </c>
      <c r="D8" s="58">
        <v>0.60888888888888881</v>
      </c>
      <c r="E8" s="58">
        <v>0.53444444444444439</v>
      </c>
      <c r="F8" s="58">
        <v>0.62666666666666659</v>
      </c>
      <c r="G8" s="58">
        <v>0.5411111111111111</v>
      </c>
      <c r="H8" s="58">
        <v>0.54333333333333333</v>
      </c>
      <c r="I8" s="58">
        <v>0.45444444444444437</v>
      </c>
      <c r="J8" s="58">
        <v>0.61</v>
      </c>
      <c r="K8" s="58">
        <v>0.43888888888888888</v>
      </c>
      <c r="L8" s="58">
        <v>0.68111111111111111</v>
      </c>
      <c r="M8" s="58">
        <v>0.55111111111111111</v>
      </c>
      <c r="N8" s="58">
        <v>0.66888888888888887</v>
      </c>
      <c r="O8" s="58">
        <v>0.52333333333333332</v>
      </c>
      <c r="P8" s="58">
        <v>0.65777777777777768</v>
      </c>
      <c r="Q8" s="58">
        <v>0.54888888888888887</v>
      </c>
      <c r="R8" s="58">
        <v>0.57111111111111112</v>
      </c>
      <c r="S8" s="58">
        <v>0.44444444444444442</v>
      </c>
      <c r="T8" s="58">
        <v>0.56777777777777783</v>
      </c>
      <c r="U8" s="58">
        <v>0.45333333333333342</v>
      </c>
      <c r="V8" s="58">
        <v>0.5411111111111111</v>
      </c>
      <c r="W8" s="58">
        <v>0.52111111111111119</v>
      </c>
      <c r="X8" s="58">
        <v>0.64222222222222225</v>
      </c>
      <c r="Y8" s="58">
        <v>0.5</v>
      </c>
      <c r="Z8" s="58">
        <v>0.64</v>
      </c>
      <c r="AA8" s="58">
        <v>0.52</v>
      </c>
      <c r="AB8" s="58">
        <v>0.61888888888888882</v>
      </c>
      <c r="AC8" s="58">
        <v>0.51111111111111118</v>
      </c>
      <c r="AD8" s="58">
        <v>0.61777777777777776</v>
      </c>
      <c r="AE8" s="58">
        <v>0.5411111111111111</v>
      </c>
      <c r="AF8" s="58">
        <v>0.68222222222222229</v>
      </c>
      <c r="AG8" s="58">
        <v>0.50444444444444447</v>
      </c>
      <c r="AH8" s="58">
        <v>0.61111111111111116</v>
      </c>
      <c r="AI8" s="58">
        <v>0.42777777777777781</v>
      </c>
      <c r="AJ8" s="58">
        <v>0.58777777777777773</v>
      </c>
      <c r="AK8" s="58">
        <v>0.4777777777777778</v>
      </c>
      <c r="AL8" s="58">
        <v>0.57111111111111112</v>
      </c>
      <c r="AM8" s="58">
        <v>0.49555555555555558</v>
      </c>
      <c r="AN8" s="58">
        <v>0.65888888888888886</v>
      </c>
      <c r="AO8" s="58">
        <v>0.52777777777777779</v>
      </c>
      <c r="AP8" s="58">
        <v>0.66111111111111109</v>
      </c>
      <c r="AQ8" s="58">
        <v>0.54777777777777781</v>
      </c>
      <c r="AR8" s="58">
        <v>0.50222222222222224</v>
      </c>
      <c r="AS8" s="58">
        <v>0.55222222222222217</v>
      </c>
      <c r="AT8" s="58">
        <v>0.63</v>
      </c>
      <c r="AU8" s="58">
        <v>0.59111111111111114</v>
      </c>
      <c r="AV8" s="58">
        <v>0.57333333333333336</v>
      </c>
      <c r="AW8" s="58">
        <v>0.47333333333333338</v>
      </c>
      <c r="AX8" s="58">
        <v>0.59666666666666668</v>
      </c>
      <c r="AY8" s="58">
        <v>0.49666666666666659</v>
      </c>
      <c r="AZ8" s="58">
        <v>0.65333333333333332</v>
      </c>
      <c r="BA8" s="58">
        <v>0.59777777777777774</v>
      </c>
      <c r="BB8" s="58">
        <v>0.60333333333333339</v>
      </c>
      <c r="BC8" s="58">
        <v>0.51111111111111118</v>
      </c>
      <c r="BD8" s="58">
        <v>0.60777777777777775</v>
      </c>
      <c r="BE8" s="58">
        <v>0.50777777777777777</v>
      </c>
      <c r="BF8" s="58">
        <v>0.62</v>
      </c>
      <c r="BG8" s="58">
        <v>0.44777777777777777</v>
      </c>
      <c r="BH8" s="58">
        <v>0.63222222222222224</v>
      </c>
      <c r="BI8" s="58">
        <v>0.54666666666666663</v>
      </c>
      <c r="BJ8" s="58">
        <v>0.64666666666666672</v>
      </c>
      <c r="BK8" s="58">
        <v>0.56000000000000005</v>
      </c>
      <c r="BL8" s="58">
        <v>0.62</v>
      </c>
      <c r="BM8" s="58">
        <v>0.52333333333333332</v>
      </c>
      <c r="BN8" s="58">
        <v>0.62888888888888883</v>
      </c>
      <c r="BO8" s="58">
        <v>0.53</v>
      </c>
      <c r="BP8" s="60">
        <f t="shared" si="0"/>
        <v>0.61589225589225594</v>
      </c>
      <c r="BQ8" s="60">
        <f t="shared" si="1"/>
        <v>0.51228956228956224</v>
      </c>
      <c r="BR8" s="58"/>
      <c r="BS8" s="34"/>
    </row>
    <row r="9" spans="1:71" ht="30" customHeight="1" x14ac:dyDescent="0.3">
      <c r="A9" s="13" t="s">
        <v>661</v>
      </c>
      <c r="B9" s="58">
        <v>0.39571428571428569</v>
      </c>
      <c r="C9" s="58">
        <v>0.33571428571428569</v>
      </c>
      <c r="D9" s="58">
        <v>0.41</v>
      </c>
      <c r="E9" s="58">
        <v>0.47714285714285709</v>
      </c>
      <c r="F9" s="58">
        <v>0.38571428571428568</v>
      </c>
      <c r="G9" s="58">
        <v>0.45</v>
      </c>
      <c r="H9" s="58">
        <v>0.40285714285714291</v>
      </c>
      <c r="I9" s="58">
        <v>0.41857142857142848</v>
      </c>
      <c r="J9" s="58">
        <v>0.39285714285714279</v>
      </c>
      <c r="K9" s="58">
        <v>0.37714285714285722</v>
      </c>
      <c r="L9" s="58">
        <v>0.43142857142857138</v>
      </c>
      <c r="M9" s="58">
        <v>0.4757142857142857</v>
      </c>
      <c r="N9" s="58">
        <v>0.39714285714285708</v>
      </c>
      <c r="O9" s="58">
        <v>0.41714285714285709</v>
      </c>
      <c r="P9" s="58">
        <v>0.4</v>
      </c>
      <c r="Q9" s="58">
        <v>0.40571428571428569</v>
      </c>
      <c r="R9" s="58">
        <v>0.47428571428571431</v>
      </c>
      <c r="S9" s="58">
        <v>0.42428571428571432</v>
      </c>
      <c r="T9" s="58">
        <v>0.38714285714285718</v>
      </c>
      <c r="U9" s="58">
        <v>0.37428571428571428</v>
      </c>
      <c r="V9" s="58">
        <v>0.39857142857142852</v>
      </c>
      <c r="W9" s="58">
        <v>0.4642857142857143</v>
      </c>
      <c r="X9" s="58">
        <v>0.42142857142857149</v>
      </c>
      <c r="Y9" s="58">
        <v>0.48571428571428571</v>
      </c>
      <c r="Z9" s="58">
        <v>0.45428571428571429</v>
      </c>
      <c r="AA9" s="58">
        <v>0.40857142857142847</v>
      </c>
      <c r="AB9" s="58">
        <v>0.39285714285714279</v>
      </c>
      <c r="AC9" s="58">
        <v>0.48142857142857148</v>
      </c>
      <c r="AD9" s="58">
        <v>0.48142857142857148</v>
      </c>
      <c r="AE9" s="58">
        <v>0.44571428571428567</v>
      </c>
      <c r="AF9" s="58">
        <v>0.39714285714285708</v>
      </c>
      <c r="AG9" s="58">
        <v>0.42285714285714282</v>
      </c>
      <c r="AH9" s="58">
        <v>0.43571428571428572</v>
      </c>
      <c r="AI9" s="58">
        <v>0.40571428571428569</v>
      </c>
      <c r="AJ9" s="58">
        <v>0.38142857142857151</v>
      </c>
      <c r="AK9" s="58">
        <v>0.39</v>
      </c>
      <c r="AL9" s="58">
        <v>0.38714285714285718</v>
      </c>
      <c r="AM9" s="58">
        <v>0.43285714285714277</v>
      </c>
      <c r="AN9" s="58">
        <v>0.43571428571428572</v>
      </c>
      <c r="AO9" s="58">
        <v>0.45857142857142852</v>
      </c>
      <c r="AP9" s="58">
        <v>0.45857142857142852</v>
      </c>
      <c r="AQ9" s="58">
        <v>0.43857142857142861</v>
      </c>
      <c r="AR9" s="58">
        <v>0.34714285714285709</v>
      </c>
      <c r="AS9" s="58">
        <v>0.49142857142857138</v>
      </c>
      <c r="AT9" s="58">
        <v>0.44</v>
      </c>
      <c r="AU9" s="58">
        <v>0.48142857142857148</v>
      </c>
      <c r="AV9" s="58">
        <v>0.39</v>
      </c>
      <c r="AW9" s="58">
        <v>0.34142857142857153</v>
      </c>
      <c r="AX9" s="58">
        <v>0.39714285714285708</v>
      </c>
      <c r="AY9" s="58">
        <v>0.47142857142857147</v>
      </c>
      <c r="AZ9" s="58">
        <v>0.42571428571428571</v>
      </c>
      <c r="BA9" s="58">
        <v>0.47857142857142848</v>
      </c>
      <c r="BB9" s="58">
        <v>0.47</v>
      </c>
      <c r="BC9" s="58">
        <v>0.42142857142857149</v>
      </c>
      <c r="BD9" s="58">
        <v>0.40285714285714291</v>
      </c>
      <c r="BE9" s="58">
        <v>0.41</v>
      </c>
      <c r="BF9" s="58">
        <v>0.42</v>
      </c>
      <c r="BG9" s="58">
        <v>0.42571428571428571</v>
      </c>
      <c r="BH9" s="58">
        <v>0.42</v>
      </c>
      <c r="BI9" s="58">
        <v>0.46714285714285708</v>
      </c>
      <c r="BJ9" s="58">
        <v>0.38285714285714278</v>
      </c>
      <c r="BK9" s="58">
        <v>0.53714285714285714</v>
      </c>
      <c r="BL9" s="58">
        <v>0.47</v>
      </c>
      <c r="BM9" s="58">
        <v>0.39714285714285708</v>
      </c>
      <c r="BN9" s="58">
        <v>0.40857142857142847</v>
      </c>
      <c r="BO9" s="58">
        <v>0.49</v>
      </c>
      <c r="BP9" s="60">
        <f t="shared" si="0"/>
        <v>0.41502164502164507</v>
      </c>
      <c r="BQ9" s="60">
        <f t="shared" si="1"/>
        <v>0.43645021645021631</v>
      </c>
      <c r="BR9" s="58"/>
      <c r="BS9" s="34"/>
    </row>
    <row r="10" spans="1:71" ht="30" customHeight="1" x14ac:dyDescent="0.3">
      <c r="A10" s="13" t="s">
        <v>674</v>
      </c>
      <c r="B10" s="58">
        <v>0.72900000000000009</v>
      </c>
      <c r="C10" s="58">
        <v>0.51700000000000002</v>
      </c>
      <c r="D10" s="58">
        <v>0.66799999999999993</v>
      </c>
      <c r="E10" s="58">
        <v>0.63</v>
      </c>
      <c r="F10" s="58">
        <v>0.7</v>
      </c>
      <c r="G10" s="58">
        <v>0.65700000000000003</v>
      </c>
      <c r="H10" s="58">
        <v>0.66799999999999993</v>
      </c>
      <c r="I10" s="58">
        <v>0.48499999999999999</v>
      </c>
      <c r="J10" s="58">
        <v>0.69499999999999995</v>
      </c>
      <c r="K10" s="58">
        <v>0.44299999999999989</v>
      </c>
      <c r="L10" s="58">
        <v>0.72799999999999998</v>
      </c>
      <c r="M10" s="58">
        <v>0.64400000000000002</v>
      </c>
      <c r="N10" s="58">
        <v>0.73299999999999998</v>
      </c>
      <c r="O10" s="58">
        <v>0.53400000000000003</v>
      </c>
      <c r="P10" s="58">
        <v>0.73099999999999998</v>
      </c>
      <c r="Q10" s="58">
        <v>0.56899999999999995</v>
      </c>
      <c r="R10" s="58">
        <v>0.72799999999999998</v>
      </c>
      <c r="S10" s="58">
        <v>0.50600000000000001</v>
      </c>
      <c r="T10" s="58">
        <v>0.69499999999999995</v>
      </c>
      <c r="U10" s="58">
        <v>0.53600000000000003</v>
      </c>
      <c r="V10" s="58">
        <v>0.76</v>
      </c>
      <c r="W10" s="58">
        <v>0.58200000000000007</v>
      </c>
      <c r="X10" s="58">
        <v>0.67900000000000005</v>
      </c>
      <c r="Y10" s="58">
        <v>0.50900000000000001</v>
      </c>
      <c r="Z10" s="58">
        <v>0.74</v>
      </c>
      <c r="AA10" s="58">
        <v>0.55399999999999994</v>
      </c>
      <c r="AB10" s="58">
        <v>0.69099999999999995</v>
      </c>
      <c r="AC10" s="58">
        <v>0.55000000000000004</v>
      </c>
      <c r="AD10" s="58">
        <v>0.65</v>
      </c>
      <c r="AE10" s="58">
        <v>0.55600000000000005</v>
      </c>
      <c r="AF10" s="58">
        <v>0.68700000000000006</v>
      </c>
      <c r="AG10" s="58">
        <v>0.55100000000000005</v>
      </c>
      <c r="AH10" s="58">
        <v>0.66900000000000004</v>
      </c>
      <c r="AI10" s="58">
        <v>0.46100000000000002</v>
      </c>
      <c r="AJ10" s="58">
        <v>0.70900000000000007</v>
      </c>
      <c r="AK10" s="58">
        <v>0.51100000000000001</v>
      </c>
      <c r="AL10" s="58">
        <v>0.65500000000000003</v>
      </c>
      <c r="AM10" s="58">
        <v>0.52300000000000002</v>
      </c>
      <c r="AN10" s="58">
        <v>0.71299999999999997</v>
      </c>
      <c r="AO10" s="58">
        <v>0.60899999999999999</v>
      </c>
      <c r="AP10" s="58">
        <v>0.72099999999999997</v>
      </c>
      <c r="AQ10" s="58">
        <v>0.629</v>
      </c>
      <c r="AR10" s="58">
        <v>0.65200000000000002</v>
      </c>
      <c r="AS10" s="58">
        <v>0.63500000000000001</v>
      </c>
      <c r="AT10" s="58">
        <v>0.70200000000000007</v>
      </c>
      <c r="AU10" s="58">
        <v>0.64599999999999991</v>
      </c>
      <c r="AV10" s="58">
        <v>0.66700000000000004</v>
      </c>
      <c r="AW10" s="58">
        <v>0.56700000000000006</v>
      </c>
      <c r="AX10" s="58">
        <v>0.67599999999999993</v>
      </c>
      <c r="AY10" s="58">
        <v>0.54200000000000004</v>
      </c>
      <c r="AZ10" s="58">
        <v>0.68599999999999994</v>
      </c>
      <c r="BA10" s="58">
        <v>0.68400000000000005</v>
      </c>
      <c r="BB10" s="58">
        <v>0.67</v>
      </c>
      <c r="BC10" s="58">
        <v>0.54100000000000004</v>
      </c>
      <c r="BD10" s="58">
        <v>0.69900000000000007</v>
      </c>
      <c r="BE10" s="58">
        <v>0.55600000000000005</v>
      </c>
      <c r="BF10" s="58">
        <v>0.70400000000000007</v>
      </c>
      <c r="BG10" s="58">
        <v>0.52800000000000002</v>
      </c>
      <c r="BH10" s="58">
        <v>0.71200000000000008</v>
      </c>
      <c r="BI10" s="58">
        <v>0.66500000000000004</v>
      </c>
      <c r="BJ10" s="58">
        <v>0.77099999999999991</v>
      </c>
      <c r="BK10" s="58">
        <v>0.64599999999999991</v>
      </c>
      <c r="BL10" s="58">
        <v>0.69499999999999995</v>
      </c>
      <c r="BM10" s="58">
        <v>0.59399999999999997</v>
      </c>
      <c r="BN10" s="58">
        <v>0.73299999999999998</v>
      </c>
      <c r="BO10" s="58">
        <v>0.621</v>
      </c>
      <c r="BP10" s="60">
        <f t="shared" si="0"/>
        <v>0.7004848484848486</v>
      </c>
      <c r="BQ10" s="60">
        <f t="shared" si="1"/>
        <v>0.56912121212121214</v>
      </c>
      <c r="BR10" s="58"/>
      <c r="BS10" s="34"/>
    </row>
    <row r="11" spans="1:71" ht="30" customHeight="1" x14ac:dyDescent="0.3">
      <c r="A11" s="13" t="s">
        <v>675</v>
      </c>
      <c r="B11" s="58">
        <v>0.86571428571428566</v>
      </c>
      <c r="C11" s="58">
        <v>0.62142857142857144</v>
      </c>
      <c r="D11" s="58">
        <v>0.77</v>
      </c>
      <c r="E11" s="58">
        <v>0.68285714285714294</v>
      </c>
      <c r="F11" s="58">
        <v>0.82</v>
      </c>
      <c r="G11" s="58">
        <v>0.71142857142857141</v>
      </c>
      <c r="H11" s="58">
        <v>0.71857142857142864</v>
      </c>
      <c r="I11" s="58">
        <v>0.52857142857142858</v>
      </c>
      <c r="J11" s="58">
        <v>0.73571428571428565</v>
      </c>
      <c r="K11" s="58">
        <v>0.48714285714285721</v>
      </c>
      <c r="L11" s="58">
        <v>0.88428571428571434</v>
      </c>
      <c r="M11" s="58">
        <v>0.73</v>
      </c>
      <c r="N11" s="58">
        <v>0.86285714285714288</v>
      </c>
      <c r="O11" s="58">
        <v>0.60857142857142854</v>
      </c>
      <c r="P11" s="58">
        <v>0.86</v>
      </c>
      <c r="Q11" s="58">
        <v>0.64142857142857135</v>
      </c>
      <c r="R11" s="58">
        <v>0.7628571428571429</v>
      </c>
      <c r="S11" s="58">
        <v>0.55000000000000004</v>
      </c>
      <c r="T11" s="58">
        <v>0.77285714285714291</v>
      </c>
      <c r="U11" s="58">
        <v>0.56571428571428573</v>
      </c>
      <c r="V11" s="58">
        <v>0.86142857142857143</v>
      </c>
      <c r="W11" s="58">
        <v>0.66</v>
      </c>
      <c r="X11" s="58">
        <v>0.75857142857142856</v>
      </c>
      <c r="Y11" s="58">
        <v>0.59857142857142853</v>
      </c>
      <c r="Z11" s="58">
        <v>0.83</v>
      </c>
      <c r="AA11" s="58">
        <v>0.61285714285714288</v>
      </c>
      <c r="AB11" s="58">
        <v>0.82857142857142863</v>
      </c>
      <c r="AC11" s="58">
        <v>0.61857142857142855</v>
      </c>
      <c r="AD11" s="58">
        <v>0.7371428571428571</v>
      </c>
      <c r="AE11" s="58">
        <v>0.61857142857142855</v>
      </c>
      <c r="AF11" s="58">
        <v>0.82428571428571429</v>
      </c>
      <c r="AG11" s="58">
        <v>0.62857142857142856</v>
      </c>
      <c r="AH11" s="58">
        <v>0.71857142857142864</v>
      </c>
      <c r="AI11" s="58">
        <v>0.52</v>
      </c>
      <c r="AJ11" s="58">
        <v>0.75428571428571434</v>
      </c>
      <c r="AK11" s="58">
        <v>0.55142857142857149</v>
      </c>
      <c r="AL11" s="58">
        <v>0.76</v>
      </c>
      <c r="AM11" s="58">
        <v>0.55285714285714282</v>
      </c>
      <c r="AN11" s="58">
        <v>0.83</v>
      </c>
      <c r="AO11" s="58">
        <v>0.66428571428571426</v>
      </c>
      <c r="AP11" s="58">
        <v>0.82857142857142863</v>
      </c>
      <c r="AQ11" s="58">
        <v>0.68714285714285706</v>
      </c>
      <c r="AR11" s="58">
        <v>0.72142857142857142</v>
      </c>
      <c r="AS11" s="58">
        <v>0.68714285714285706</v>
      </c>
      <c r="AT11" s="58">
        <v>0.80428571428571427</v>
      </c>
      <c r="AU11" s="58">
        <v>0.71714285714285708</v>
      </c>
      <c r="AV11" s="58">
        <v>0.70285714285714296</v>
      </c>
      <c r="AW11" s="58">
        <v>0.57142857142857151</v>
      </c>
      <c r="AX11" s="58">
        <v>0.73142857142857143</v>
      </c>
      <c r="AY11" s="58">
        <v>0.58285714285714285</v>
      </c>
      <c r="AZ11" s="58">
        <v>0.78428571428571425</v>
      </c>
      <c r="BA11" s="58">
        <v>0.71857142857142864</v>
      </c>
      <c r="BB11" s="58">
        <v>0.73857142857142866</v>
      </c>
      <c r="BC11" s="58">
        <v>0.61142857142857143</v>
      </c>
      <c r="BD11" s="58">
        <v>0.83571428571428574</v>
      </c>
      <c r="BE11" s="58">
        <v>0.6171428571428571</v>
      </c>
      <c r="BF11" s="58">
        <v>0.80142857142857138</v>
      </c>
      <c r="BG11" s="58">
        <v>0.55285714285714282</v>
      </c>
      <c r="BH11" s="58">
        <v>0.7857142857142857</v>
      </c>
      <c r="BI11" s="58">
        <v>0.7142857142857143</v>
      </c>
      <c r="BJ11" s="58">
        <v>0.89857142857142858</v>
      </c>
      <c r="BK11" s="58">
        <v>0.75</v>
      </c>
      <c r="BL11" s="58">
        <v>0.81285714285714294</v>
      </c>
      <c r="BM11" s="58">
        <v>0.64714285714285713</v>
      </c>
      <c r="BN11" s="58">
        <v>0.84857142857142864</v>
      </c>
      <c r="BO11" s="58">
        <v>0.70285714285714296</v>
      </c>
      <c r="BP11" s="60">
        <f t="shared" si="0"/>
        <v>0.79545454545454564</v>
      </c>
      <c r="BQ11" s="60">
        <f t="shared" si="1"/>
        <v>0.62766233766233781</v>
      </c>
      <c r="BR11" s="58"/>
      <c r="BS11" s="34"/>
    </row>
    <row r="12" spans="1:71" ht="30" customHeight="1" x14ac:dyDescent="0.3">
      <c r="A12" s="13" t="s">
        <v>676</v>
      </c>
      <c r="B12" s="58">
        <v>0.55428571428571427</v>
      </c>
      <c r="C12" s="58">
        <v>0.51142857142857145</v>
      </c>
      <c r="D12" s="58">
        <v>0.51428571428571435</v>
      </c>
      <c r="E12" s="58">
        <v>0.53142857142857147</v>
      </c>
      <c r="F12" s="58">
        <v>0.57714285714285718</v>
      </c>
      <c r="G12" s="58">
        <v>0.54285714285714282</v>
      </c>
      <c r="H12" s="58">
        <v>0.60571428571428565</v>
      </c>
      <c r="I12" s="58">
        <v>0.52142857142857146</v>
      </c>
      <c r="J12" s="58">
        <v>0.56571428571428573</v>
      </c>
      <c r="K12" s="58">
        <v>0.5357142857142857</v>
      </c>
      <c r="L12" s="58">
        <v>0.58571428571428574</v>
      </c>
      <c r="M12" s="58">
        <v>0.5585714285714285</v>
      </c>
      <c r="N12" s="58">
        <v>0.56000000000000005</v>
      </c>
      <c r="O12" s="58">
        <v>0.54857142857142849</v>
      </c>
      <c r="P12" s="58">
        <v>0.56714285714285717</v>
      </c>
      <c r="Q12" s="58">
        <v>0.60285714285714287</v>
      </c>
      <c r="R12" s="58">
        <v>0.55000000000000004</v>
      </c>
      <c r="S12" s="58">
        <v>0.53428571428571425</v>
      </c>
      <c r="T12" s="58">
        <v>0.55000000000000004</v>
      </c>
      <c r="U12" s="58">
        <v>0.50571428571428567</v>
      </c>
      <c r="V12" s="58">
        <v>0.57714285714285718</v>
      </c>
      <c r="W12" s="58">
        <v>0.56428571428571428</v>
      </c>
      <c r="X12" s="58">
        <v>0.5971428571428572</v>
      </c>
      <c r="Y12" s="58">
        <v>0.55000000000000004</v>
      </c>
      <c r="Z12" s="58">
        <v>0.56000000000000005</v>
      </c>
      <c r="AA12" s="58">
        <v>0.53</v>
      </c>
      <c r="AB12" s="58">
        <v>0.54571428571428571</v>
      </c>
      <c r="AC12" s="58">
        <v>0.53</v>
      </c>
      <c r="AD12" s="58">
        <v>0.60285714285714287</v>
      </c>
      <c r="AE12" s="58">
        <v>0.58285714285714285</v>
      </c>
      <c r="AF12" s="58">
        <v>0.5842857142857143</v>
      </c>
      <c r="AG12" s="58">
        <v>0.54142857142857148</v>
      </c>
      <c r="AH12" s="58">
        <v>0.58142857142857141</v>
      </c>
      <c r="AI12" s="58">
        <v>0.53285714285714281</v>
      </c>
      <c r="AJ12" s="58">
        <v>0.57857142857142851</v>
      </c>
      <c r="AK12" s="58">
        <v>0.53714285714285714</v>
      </c>
      <c r="AL12" s="58">
        <v>0.56428571428571428</v>
      </c>
      <c r="AM12" s="58">
        <v>0.46</v>
      </c>
      <c r="AN12" s="58">
        <v>0.54571428571428571</v>
      </c>
      <c r="AO12" s="58">
        <v>0.53428571428571425</v>
      </c>
      <c r="AP12" s="58">
        <v>0.54571428571428571</v>
      </c>
      <c r="AQ12" s="58">
        <v>0.54714285714285715</v>
      </c>
      <c r="AR12" s="58">
        <v>0.51714285714285713</v>
      </c>
      <c r="AS12" s="58">
        <v>0.52428571428571435</v>
      </c>
      <c r="AT12" s="58">
        <v>0.60142857142857142</v>
      </c>
      <c r="AU12" s="58">
        <v>0.57857142857142851</v>
      </c>
      <c r="AV12" s="58">
        <v>0.52428571428571435</v>
      </c>
      <c r="AW12" s="58">
        <v>0.49285714285714283</v>
      </c>
      <c r="AX12" s="58">
        <v>0.58857142857142852</v>
      </c>
      <c r="AY12" s="58">
        <v>0.54285714285714282</v>
      </c>
      <c r="AZ12" s="58">
        <v>0.54428571428571426</v>
      </c>
      <c r="BA12" s="58">
        <v>0.56428571428571428</v>
      </c>
      <c r="BB12" s="58">
        <v>0.56000000000000005</v>
      </c>
      <c r="BC12" s="58">
        <v>0.50285714285714289</v>
      </c>
      <c r="BD12" s="58">
        <v>0.60857142857142854</v>
      </c>
      <c r="BE12" s="58">
        <v>0.50285714285714289</v>
      </c>
      <c r="BF12" s="58">
        <v>0.57857142857142851</v>
      </c>
      <c r="BG12" s="58">
        <v>0.52571428571428569</v>
      </c>
      <c r="BH12" s="58">
        <v>0.60428571428571431</v>
      </c>
      <c r="BI12" s="58">
        <v>0.62142857142857144</v>
      </c>
      <c r="BJ12" s="58">
        <v>0.54714285714285715</v>
      </c>
      <c r="BK12" s="58">
        <v>0.57999999999999996</v>
      </c>
      <c r="BL12" s="58">
        <v>0.60142857142857142</v>
      </c>
      <c r="BM12" s="58">
        <v>0.52857142857142858</v>
      </c>
      <c r="BN12" s="58">
        <v>0.57857142857142851</v>
      </c>
      <c r="BO12" s="58">
        <v>0.57999999999999996</v>
      </c>
      <c r="BP12" s="60">
        <f t="shared" si="0"/>
        <v>0.56870129870129871</v>
      </c>
      <c r="BQ12" s="60">
        <f t="shared" si="1"/>
        <v>0.54082251082251076</v>
      </c>
      <c r="BR12" s="58"/>
      <c r="BS12" s="34"/>
    </row>
    <row r="13" spans="1:71" ht="30" customHeight="1" x14ac:dyDescent="0.3">
      <c r="A13" s="13" t="s">
        <v>677</v>
      </c>
      <c r="B13" s="58">
        <v>0.30399999999999999</v>
      </c>
      <c r="C13" s="58">
        <v>0.41599999999999998</v>
      </c>
      <c r="D13" s="58">
        <v>0.50600000000000001</v>
      </c>
      <c r="E13" s="58">
        <v>0.56999999999999995</v>
      </c>
      <c r="F13" s="58">
        <v>0.33200000000000002</v>
      </c>
      <c r="G13" s="58">
        <v>0.246</v>
      </c>
      <c r="H13" s="58">
        <v>0.38800000000000001</v>
      </c>
      <c r="I13" s="58">
        <v>0.34599999999999997</v>
      </c>
      <c r="J13" s="58">
        <v>0.52</v>
      </c>
      <c r="K13" s="58">
        <v>0.39600000000000002</v>
      </c>
      <c r="L13" s="58">
        <v>0.20599999999999999</v>
      </c>
      <c r="M13" s="58">
        <v>0.26400000000000001</v>
      </c>
      <c r="N13" s="58">
        <v>0.54799999999999993</v>
      </c>
      <c r="O13" s="58">
        <v>0.43</v>
      </c>
      <c r="P13" s="58">
        <v>0.30599999999999999</v>
      </c>
      <c r="Q13" s="58">
        <v>0.4</v>
      </c>
      <c r="R13" s="58">
        <v>0.55200000000000005</v>
      </c>
      <c r="S13" s="58">
        <v>0.47599999999999998</v>
      </c>
      <c r="T13" s="58">
        <v>0.51</v>
      </c>
      <c r="U13" s="58">
        <v>0.36399999999999999</v>
      </c>
      <c r="V13" s="58">
        <v>0.40600000000000003</v>
      </c>
      <c r="W13" s="58">
        <v>0.58799999999999997</v>
      </c>
      <c r="X13" s="58">
        <v>0.42399999999999999</v>
      </c>
      <c r="Y13" s="58">
        <v>0.308</v>
      </c>
      <c r="Z13" s="58">
        <v>0.30399999999999999</v>
      </c>
      <c r="AA13" s="58">
        <v>0.32400000000000001</v>
      </c>
      <c r="AB13" s="58">
        <v>0.442</v>
      </c>
      <c r="AC13" s="58">
        <v>0.32800000000000001</v>
      </c>
      <c r="AD13" s="58">
        <v>0.44400000000000001</v>
      </c>
      <c r="AE13" s="58">
        <v>0.38600000000000001</v>
      </c>
      <c r="AF13" s="58">
        <v>0.49399999999999999</v>
      </c>
      <c r="AG13" s="58">
        <v>0.39</v>
      </c>
      <c r="AH13" s="58">
        <v>0.248</v>
      </c>
      <c r="AI13" s="58">
        <v>0.22800000000000001</v>
      </c>
      <c r="AJ13" s="58">
        <v>0.30199999999999999</v>
      </c>
      <c r="AK13" s="58">
        <v>0.28799999999999998</v>
      </c>
      <c r="AL13" s="58">
        <v>0.40799999999999997</v>
      </c>
      <c r="AM13" s="58">
        <v>0.35399999999999998</v>
      </c>
      <c r="AN13" s="58">
        <v>0.32800000000000001</v>
      </c>
      <c r="AO13" s="58">
        <v>0.33800000000000002</v>
      </c>
      <c r="AP13" s="58">
        <v>0.55000000000000004</v>
      </c>
      <c r="AQ13" s="58">
        <v>0.40600000000000003</v>
      </c>
      <c r="AR13" s="58">
        <v>0.48399999999999999</v>
      </c>
      <c r="AS13" s="58">
        <v>0.5</v>
      </c>
      <c r="AT13" s="58">
        <v>0.56200000000000006</v>
      </c>
      <c r="AU13" s="58">
        <v>0.40799999999999997</v>
      </c>
      <c r="AV13" s="58">
        <v>0.44800000000000001</v>
      </c>
      <c r="AW13" s="58">
        <v>0.37200000000000011</v>
      </c>
      <c r="AX13" s="58">
        <v>0.56600000000000006</v>
      </c>
      <c r="AY13" s="58">
        <v>0.48199999999999998</v>
      </c>
      <c r="AZ13" s="58">
        <v>0.49</v>
      </c>
      <c r="BA13" s="58">
        <v>0.37200000000000011</v>
      </c>
      <c r="BB13" s="58">
        <v>0.56600000000000006</v>
      </c>
      <c r="BC13" s="58">
        <v>0.48</v>
      </c>
      <c r="BD13" s="58">
        <v>0.49399999999999999</v>
      </c>
      <c r="BE13" s="58">
        <v>0.504</v>
      </c>
      <c r="BF13" s="58">
        <v>0.42399999999999999</v>
      </c>
      <c r="BG13" s="58">
        <v>0.29799999999999999</v>
      </c>
      <c r="BH13" s="58">
        <v>0.42599999999999999</v>
      </c>
      <c r="BI13" s="58">
        <v>0.374</v>
      </c>
      <c r="BJ13" s="58">
        <v>0.20399999999999999</v>
      </c>
      <c r="BK13" s="58">
        <v>0.39600000000000002</v>
      </c>
      <c r="BL13" s="58">
        <v>0.32400000000000001</v>
      </c>
      <c r="BM13" s="58">
        <v>0.374</v>
      </c>
      <c r="BN13" s="58">
        <v>0.29599999999999999</v>
      </c>
      <c r="BO13" s="58">
        <v>0.25</v>
      </c>
      <c r="BP13" s="60">
        <f t="shared" si="0"/>
        <v>0.41836363636363644</v>
      </c>
      <c r="BQ13" s="60">
        <f t="shared" si="1"/>
        <v>0.38351515151515153</v>
      </c>
      <c r="BR13" s="58"/>
      <c r="BS13" s="34"/>
    </row>
  </sheetData>
  <mergeCells count="40">
    <mergeCell ref="A1:BS1"/>
    <mergeCell ref="A2:BS2"/>
    <mergeCell ref="A3:A4"/>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P3:BP4"/>
    <mergeCell ref="BQ3:BQ4"/>
    <mergeCell ref="BR3:BR4"/>
    <mergeCell ref="BS3:BS4"/>
    <mergeCell ref="BF3:BG3"/>
    <mergeCell ref="BH3:BI3"/>
    <mergeCell ref="BJ3:BK3"/>
    <mergeCell ref="BL3:BM3"/>
    <mergeCell ref="BN3:BO3"/>
  </mergeCells>
  <conditionalFormatting sqref="C5:C13">
    <cfRule type="cellIs" dxfId="109" priority="25" operator="greaterThan">
      <formula>B5</formula>
    </cfRule>
  </conditionalFormatting>
  <conditionalFormatting sqref="E5:E13">
    <cfRule type="cellIs" dxfId="108" priority="26" operator="greaterThan">
      <formula>D5</formula>
    </cfRule>
  </conditionalFormatting>
  <conditionalFormatting sqref="G5:G13">
    <cfRule type="cellIs" dxfId="107" priority="27" operator="greaterThan">
      <formula>F5</formula>
    </cfRule>
  </conditionalFormatting>
  <conditionalFormatting sqref="I5:I13">
    <cfRule type="cellIs" dxfId="106" priority="28" operator="greaterThan">
      <formula>H5</formula>
    </cfRule>
  </conditionalFormatting>
  <conditionalFormatting sqref="K5:K13">
    <cfRule type="cellIs" dxfId="105" priority="29" operator="greaterThan">
      <formula>J5</formula>
    </cfRule>
  </conditionalFormatting>
  <conditionalFormatting sqref="M5:M13">
    <cfRule type="cellIs" dxfId="104" priority="30" operator="greaterThan">
      <formula>L5</formula>
    </cfRule>
  </conditionalFormatting>
  <conditionalFormatting sqref="O5:O13">
    <cfRule type="cellIs" dxfId="103" priority="31" operator="greaterThan">
      <formula>N5</formula>
    </cfRule>
  </conditionalFormatting>
  <conditionalFormatting sqref="Q5:Q13">
    <cfRule type="cellIs" dxfId="102" priority="32" operator="greaterThan">
      <formula>P5</formula>
    </cfRule>
  </conditionalFormatting>
  <conditionalFormatting sqref="S5:S13">
    <cfRule type="cellIs" dxfId="101" priority="33" operator="greaterThan">
      <formula>R5</formula>
    </cfRule>
  </conditionalFormatting>
  <conditionalFormatting sqref="U5:U13">
    <cfRule type="cellIs" dxfId="100" priority="24" operator="greaterThan">
      <formula>T5</formula>
    </cfRule>
  </conditionalFormatting>
  <conditionalFormatting sqref="W5:W13">
    <cfRule type="cellIs" dxfId="99" priority="23" operator="greaterThan">
      <formula>V5</formula>
    </cfRule>
  </conditionalFormatting>
  <conditionalFormatting sqref="Y5:Y13">
    <cfRule type="cellIs" dxfId="98" priority="22" operator="greaterThan">
      <formula>X5</formula>
    </cfRule>
  </conditionalFormatting>
  <conditionalFormatting sqref="AA5:AA13">
    <cfRule type="cellIs" dxfId="97" priority="16" operator="greaterThan">
      <formula>Z5</formula>
    </cfRule>
  </conditionalFormatting>
  <conditionalFormatting sqref="AC5:AC13">
    <cfRule type="cellIs" dxfId="96" priority="17" operator="greaterThan">
      <formula>AB5</formula>
    </cfRule>
  </conditionalFormatting>
  <conditionalFormatting sqref="AE5:AE13">
    <cfRule type="cellIs" dxfId="95" priority="18" operator="greaterThan">
      <formula>AD5</formula>
    </cfRule>
  </conditionalFormatting>
  <conditionalFormatting sqref="AG5:AG13">
    <cfRule type="cellIs" dxfId="94" priority="19" operator="greaterThan">
      <formula>AF5</formula>
    </cfRule>
  </conditionalFormatting>
  <conditionalFormatting sqref="AI5:AI13">
    <cfRule type="cellIs" dxfId="93" priority="20" operator="greaterThan">
      <formula>AH5</formula>
    </cfRule>
  </conditionalFormatting>
  <conditionalFormatting sqref="AK5:AK13">
    <cfRule type="cellIs" dxfId="92" priority="21" operator="greaterThan">
      <formula>AJ5</formula>
    </cfRule>
  </conditionalFormatting>
  <conditionalFormatting sqref="AM5:AM13">
    <cfRule type="cellIs" dxfId="91" priority="15" operator="greaterThan">
      <formula>AL5</formula>
    </cfRule>
  </conditionalFormatting>
  <conditionalFormatting sqref="AO5:AO13">
    <cfRule type="cellIs" dxfId="90" priority="14" operator="greaterThan">
      <formula>AN5</formula>
    </cfRule>
  </conditionalFormatting>
  <conditionalFormatting sqref="AQ5:AQ13">
    <cfRule type="cellIs" dxfId="89" priority="1" operator="greaterThan">
      <formula>AP5</formula>
    </cfRule>
  </conditionalFormatting>
  <conditionalFormatting sqref="AS5:AS13">
    <cfRule type="cellIs" dxfId="88" priority="2" operator="greaterThan">
      <formula>AR5</formula>
    </cfRule>
  </conditionalFormatting>
  <conditionalFormatting sqref="AU5:AU13">
    <cfRule type="cellIs" dxfId="87" priority="3" operator="greaterThan">
      <formula>AT5</formula>
    </cfRule>
  </conditionalFormatting>
  <conditionalFormatting sqref="AW5:AW13">
    <cfRule type="cellIs" dxfId="86" priority="4" operator="greaterThan">
      <formula>AV5</formula>
    </cfRule>
  </conditionalFormatting>
  <conditionalFormatting sqref="AY5:AY13">
    <cfRule type="cellIs" dxfId="85" priority="5" operator="greaterThan">
      <formula>AX5</formula>
    </cfRule>
  </conditionalFormatting>
  <conditionalFormatting sqref="BA5:BA13">
    <cfRule type="cellIs" dxfId="84" priority="6" operator="greaterThan">
      <formula>AZ5</formula>
    </cfRule>
  </conditionalFormatting>
  <conditionalFormatting sqref="BC5:BC13">
    <cfRule type="cellIs" dxfId="83" priority="7" operator="greaterThan">
      <formula>BB5</formula>
    </cfRule>
  </conditionalFormatting>
  <conditionalFormatting sqref="BE5:BE13">
    <cfRule type="cellIs" dxfId="82" priority="8" operator="greaterThan">
      <formula>BD5</formula>
    </cfRule>
  </conditionalFormatting>
  <conditionalFormatting sqref="BG5:BG13">
    <cfRule type="cellIs" dxfId="81" priority="9" operator="greaterThan">
      <formula>BF5</formula>
    </cfRule>
  </conditionalFormatting>
  <conditionalFormatting sqref="BI5:BI13">
    <cfRule type="cellIs" dxfId="80" priority="10" operator="greaterThan">
      <formula>BH5</formula>
    </cfRule>
  </conditionalFormatting>
  <conditionalFormatting sqref="BK5:BK13">
    <cfRule type="cellIs" dxfId="79" priority="11" operator="greaterThan">
      <formula>BJ5</formula>
    </cfRule>
  </conditionalFormatting>
  <conditionalFormatting sqref="BM5:BM13">
    <cfRule type="cellIs" dxfId="78" priority="12" operator="greaterThan">
      <formula>BL5</formula>
    </cfRule>
  </conditionalFormatting>
  <conditionalFormatting sqref="BO5:BO13">
    <cfRule type="cellIs" dxfId="77" priority="13" operator="greaterThan">
      <formula>BN5</formula>
    </cfRule>
  </conditionalFormatting>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2" tint="-0.749992370372631"/>
  </sheetPr>
  <dimension ref="A1:BS13"/>
  <sheetViews>
    <sheetView showGridLines="0" zoomScaleNormal="100" workbookViewId="0">
      <selection activeCell="K8" sqref="K8"/>
    </sheetView>
  </sheetViews>
  <sheetFormatPr defaultColWidth="8.6640625" defaultRowHeight="15.6" x14ac:dyDescent="0.3"/>
  <cols>
    <col min="1" max="1" width="42" style="11" customWidth="1"/>
    <col min="2" max="67" width="8" style="11" customWidth="1"/>
    <col min="68" max="69" width="13" style="11" customWidth="1"/>
    <col min="70" max="70" width="11" style="11" customWidth="1"/>
    <col min="71" max="71" width="45" style="11" customWidth="1"/>
    <col min="72" max="16384" width="8.6640625" style="11"/>
  </cols>
  <sheetData>
    <row r="1" spans="1:71" ht="25.5" customHeight="1" x14ac:dyDescent="0.3">
      <c r="A1" s="102" t="s">
        <v>678</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row>
    <row r="2" spans="1:71" x14ac:dyDescent="0.3">
      <c r="A2" s="80" t="s">
        <v>679</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row>
    <row r="3" spans="1:71" ht="30" customHeight="1" x14ac:dyDescent="0.3">
      <c r="A3" s="101" t="s">
        <v>646</v>
      </c>
      <c r="B3" s="101" t="str">
        <f>Districts_Setup!$B$4</f>
        <v>Ahmedabad</v>
      </c>
      <c r="C3" s="101"/>
      <c r="D3" s="101" t="str">
        <f>Districts_Setup!$B$5</f>
        <v>Amreli</v>
      </c>
      <c r="E3" s="101"/>
      <c r="F3" s="101" t="str">
        <f>Districts_Setup!$B$6</f>
        <v>Anand</v>
      </c>
      <c r="G3" s="101"/>
      <c r="H3" s="101" t="str">
        <f>Districts_Setup!$B$7</f>
        <v>Aravalli</v>
      </c>
      <c r="I3" s="101"/>
      <c r="J3" s="101" t="str">
        <f>Districts_Setup!$B$8</f>
        <v>Banaskantha</v>
      </c>
      <c r="K3" s="101"/>
      <c r="L3" s="101" t="str">
        <f>Districts_Setup!$B$9</f>
        <v>Bharuch</v>
      </c>
      <c r="M3" s="101"/>
      <c r="N3" s="101" t="str">
        <f>Districts_Setup!$B$10</f>
        <v>Bhavnagar</v>
      </c>
      <c r="O3" s="101"/>
      <c r="P3" s="101" t="str">
        <f>Districts_Setup!$B$11</f>
        <v>Botad</v>
      </c>
      <c r="Q3" s="101"/>
      <c r="R3" s="101" t="str">
        <f>Districts_Setup!$B$12</f>
        <v>Chhota Udepur</v>
      </c>
      <c r="S3" s="101"/>
      <c r="T3" s="101" t="str">
        <f>Districts_Setup!$B$13</f>
        <v>Dahod</v>
      </c>
      <c r="U3" s="101"/>
      <c r="V3" s="101" t="str">
        <f>Districts_Setup!$B$14</f>
        <v>Dang</v>
      </c>
      <c r="W3" s="101"/>
      <c r="X3" s="101" t="str">
        <f>Districts_Setup!$B$15</f>
        <v>Devbhoomi Dwarka</v>
      </c>
      <c r="Y3" s="101"/>
      <c r="Z3" s="101" t="str">
        <f>Districts_Setup!$B$16</f>
        <v>Gandhinagar</v>
      </c>
      <c r="AA3" s="101"/>
      <c r="AB3" s="101" t="str">
        <f>Districts_Setup!$B$17</f>
        <v>Gir Somnath</v>
      </c>
      <c r="AC3" s="101"/>
      <c r="AD3" s="101" t="str">
        <f>Districts_Setup!$B$18</f>
        <v>Jamnagar</v>
      </c>
      <c r="AE3" s="101"/>
      <c r="AF3" s="101" t="str">
        <f>Districts_Setup!$B$19</f>
        <v>Junagadh</v>
      </c>
      <c r="AG3" s="101"/>
      <c r="AH3" s="101" t="str">
        <f>Districts_Setup!$B$20</f>
        <v>Kutch</v>
      </c>
      <c r="AI3" s="101"/>
      <c r="AJ3" s="101" t="str">
        <f>Districts_Setup!$B$21</f>
        <v>Kheda</v>
      </c>
      <c r="AK3" s="101"/>
      <c r="AL3" s="101" t="str">
        <f>Districts_Setup!$B$22</f>
        <v>Mahisagar</v>
      </c>
      <c r="AM3" s="101"/>
      <c r="AN3" s="101" t="str">
        <f>Districts_Setup!$B$23</f>
        <v>Mehsana</v>
      </c>
      <c r="AO3" s="101"/>
      <c r="AP3" s="101" t="str">
        <f>Districts_Setup!$B$24</f>
        <v>Morbi</v>
      </c>
      <c r="AQ3" s="101"/>
      <c r="AR3" s="101" t="str">
        <f>Districts_Setup!$B$25</f>
        <v>Narmada</v>
      </c>
      <c r="AS3" s="101"/>
      <c r="AT3" s="101" t="str">
        <f>Districts_Setup!$B$26</f>
        <v>Navsari</v>
      </c>
      <c r="AU3" s="101"/>
      <c r="AV3" s="101" t="str">
        <f>Districts_Setup!$B$27</f>
        <v>Panchmahal</v>
      </c>
      <c r="AW3" s="101"/>
      <c r="AX3" s="101" t="str">
        <f>Districts_Setup!$B$28</f>
        <v>Patan</v>
      </c>
      <c r="AY3" s="101"/>
      <c r="AZ3" s="101" t="str">
        <f>Districts_Setup!$B$29</f>
        <v>Porbandar</v>
      </c>
      <c r="BA3" s="101"/>
      <c r="BB3" s="101" t="str">
        <f>Districts_Setup!$B$30</f>
        <v>Rajkot</v>
      </c>
      <c r="BC3" s="101"/>
      <c r="BD3" s="101" t="str">
        <f>Districts_Setup!$B$31</f>
        <v>Sabarkantha</v>
      </c>
      <c r="BE3" s="101"/>
      <c r="BF3" s="101" t="str">
        <f>Districts_Setup!$B$32</f>
        <v>Surat</v>
      </c>
      <c r="BG3" s="101"/>
      <c r="BH3" s="101" t="str">
        <f>Districts_Setup!$B$33</f>
        <v>Surendranagar</v>
      </c>
      <c r="BI3" s="101"/>
      <c r="BJ3" s="101" t="str">
        <f>Districts_Setup!$B$34</f>
        <v>Tapi</v>
      </c>
      <c r="BK3" s="101"/>
      <c r="BL3" s="101" t="str">
        <f>Districts_Setup!$B$35</f>
        <v>Vadodara</v>
      </c>
      <c r="BM3" s="101"/>
      <c r="BN3" s="101" t="str">
        <f>Districts_Setup!$B$36</f>
        <v>Valsad</v>
      </c>
      <c r="BO3" s="101"/>
      <c r="BP3" s="100" t="s">
        <v>647</v>
      </c>
      <c r="BQ3" s="100" t="s">
        <v>648</v>
      </c>
      <c r="BR3" s="100" t="s">
        <v>649</v>
      </c>
      <c r="BS3" s="100" t="s">
        <v>484</v>
      </c>
    </row>
    <row r="4" spans="1:71" ht="45" customHeight="1" x14ac:dyDescent="0.3">
      <c r="A4" s="101"/>
      <c r="B4" s="66" t="s">
        <v>650</v>
      </c>
      <c r="C4" s="66" t="s">
        <v>651</v>
      </c>
      <c r="D4" s="66" t="s">
        <v>650</v>
      </c>
      <c r="E4" s="66" t="s">
        <v>651</v>
      </c>
      <c r="F4" s="66" t="s">
        <v>650</v>
      </c>
      <c r="G4" s="66" t="s">
        <v>651</v>
      </c>
      <c r="H4" s="66" t="s">
        <v>650</v>
      </c>
      <c r="I4" s="66" t="s">
        <v>651</v>
      </c>
      <c r="J4" s="66" t="s">
        <v>650</v>
      </c>
      <c r="K4" s="66" t="s">
        <v>651</v>
      </c>
      <c r="L4" s="66" t="s">
        <v>650</v>
      </c>
      <c r="M4" s="66" t="s">
        <v>651</v>
      </c>
      <c r="N4" s="66" t="s">
        <v>650</v>
      </c>
      <c r="O4" s="66" t="s">
        <v>651</v>
      </c>
      <c r="P4" s="66" t="s">
        <v>650</v>
      </c>
      <c r="Q4" s="66" t="s">
        <v>651</v>
      </c>
      <c r="R4" s="66" t="s">
        <v>650</v>
      </c>
      <c r="S4" s="66" t="s">
        <v>651</v>
      </c>
      <c r="T4" s="66" t="s">
        <v>650</v>
      </c>
      <c r="U4" s="66" t="s">
        <v>651</v>
      </c>
      <c r="V4" s="66" t="s">
        <v>650</v>
      </c>
      <c r="W4" s="66" t="s">
        <v>651</v>
      </c>
      <c r="X4" s="66" t="s">
        <v>650</v>
      </c>
      <c r="Y4" s="66" t="s">
        <v>651</v>
      </c>
      <c r="Z4" s="66" t="s">
        <v>650</v>
      </c>
      <c r="AA4" s="66" t="s">
        <v>651</v>
      </c>
      <c r="AB4" s="66" t="s">
        <v>650</v>
      </c>
      <c r="AC4" s="66" t="s">
        <v>651</v>
      </c>
      <c r="AD4" s="66" t="s">
        <v>650</v>
      </c>
      <c r="AE4" s="66" t="s">
        <v>651</v>
      </c>
      <c r="AF4" s="66" t="s">
        <v>650</v>
      </c>
      <c r="AG4" s="66" t="s">
        <v>651</v>
      </c>
      <c r="AH4" s="66" t="s">
        <v>650</v>
      </c>
      <c r="AI4" s="66" t="s">
        <v>651</v>
      </c>
      <c r="AJ4" s="66" t="s">
        <v>650</v>
      </c>
      <c r="AK4" s="66" t="s">
        <v>651</v>
      </c>
      <c r="AL4" s="66" t="s">
        <v>650</v>
      </c>
      <c r="AM4" s="66" t="s">
        <v>651</v>
      </c>
      <c r="AN4" s="66" t="s">
        <v>650</v>
      </c>
      <c r="AO4" s="66" t="s">
        <v>651</v>
      </c>
      <c r="AP4" s="66" t="s">
        <v>650</v>
      </c>
      <c r="AQ4" s="66" t="s">
        <v>651</v>
      </c>
      <c r="AR4" s="66" t="s">
        <v>650</v>
      </c>
      <c r="AS4" s="66" t="s">
        <v>651</v>
      </c>
      <c r="AT4" s="66" t="s">
        <v>650</v>
      </c>
      <c r="AU4" s="66" t="s">
        <v>651</v>
      </c>
      <c r="AV4" s="66" t="s">
        <v>650</v>
      </c>
      <c r="AW4" s="66" t="s">
        <v>651</v>
      </c>
      <c r="AX4" s="66" t="s">
        <v>650</v>
      </c>
      <c r="AY4" s="66" t="s">
        <v>651</v>
      </c>
      <c r="AZ4" s="66" t="s">
        <v>650</v>
      </c>
      <c r="BA4" s="66" t="s">
        <v>651</v>
      </c>
      <c r="BB4" s="66" t="s">
        <v>650</v>
      </c>
      <c r="BC4" s="66" t="s">
        <v>651</v>
      </c>
      <c r="BD4" s="66" t="s">
        <v>650</v>
      </c>
      <c r="BE4" s="66" t="s">
        <v>651</v>
      </c>
      <c r="BF4" s="66" t="s">
        <v>650</v>
      </c>
      <c r="BG4" s="66" t="s">
        <v>651</v>
      </c>
      <c r="BH4" s="66" t="s">
        <v>650</v>
      </c>
      <c r="BI4" s="66" t="s">
        <v>651</v>
      </c>
      <c r="BJ4" s="66" t="s">
        <v>650</v>
      </c>
      <c r="BK4" s="66" t="s">
        <v>651</v>
      </c>
      <c r="BL4" s="66" t="s">
        <v>650</v>
      </c>
      <c r="BM4" s="66" t="s">
        <v>651</v>
      </c>
      <c r="BN4" s="66" t="s">
        <v>650</v>
      </c>
      <c r="BO4" s="66" t="s">
        <v>651</v>
      </c>
      <c r="BP4" s="100"/>
      <c r="BQ4" s="100"/>
      <c r="BR4" s="100"/>
      <c r="BS4" s="100"/>
    </row>
    <row r="5" spans="1:71" ht="30" customHeight="1" x14ac:dyDescent="0.3">
      <c r="A5" s="13" t="s">
        <v>670</v>
      </c>
      <c r="B5" s="58">
        <v>0.35615384615384621</v>
      </c>
      <c r="C5" s="58">
        <v>0.33461538461538459</v>
      </c>
      <c r="D5" s="58">
        <v>0.37461538461538457</v>
      </c>
      <c r="E5" s="58">
        <v>0.34923076923076918</v>
      </c>
      <c r="F5" s="58">
        <v>0.37</v>
      </c>
      <c r="G5" s="58">
        <v>0.33230769230769241</v>
      </c>
      <c r="H5" s="58">
        <v>0.36846153846153851</v>
      </c>
      <c r="I5" s="58">
        <v>0.36307692307692307</v>
      </c>
      <c r="J5" s="58">
        <v>0.38769230769230772</v>
      </c>
      <c r="K5" s="58">
        <v>0.37153846153846148</v>
      </c>
      <c r="L5" s="58">
        <v>0.35615384615384621</v>
      </c>
      <c r="M5" s="58">
        <v>0.35615384615384621</v>
      </c>
      <c r="N5" s="58">
        <v>0.34307692307692311</v>
      </c>
      <c r="O5" s="58">
        <v>0.35769230769230759</v>
      </c>
      <c r="P5" s="58">
        <v>0.3453846153846154</v>
      </c>
      <c r="Q5" s="58">
        <v>0.36</v>
      </c>
      <c r="R5" s="58">
        <v>0.39769230769230768</v>
      </c>
      <c r="S5" s="58">
        <v>0.32384615384615389</v>
      </c>
      <c r="T5" s="58">
        <v>0.38307692307692309</v>
      </c>
      <c r="U5" s="58">
        <v>0.35846153846153839</v>
      </c>
      <c r="V5" s="58">
        <v>0.37692307692307692</v>
      </c>
      <c r="W5" s="58">
        <v>0.36846153846153851</v>
      </c>
      <c r="X5" s="58">
        <v>0.3807692307692308</v>
      </c>
      <c r="Y5" s="58">
        <v>0.36076923076923079</v>
      </c>
      <c r="Z5" s="58">
        <v>0.36461538461538462</v>
      </c>
      <c r="AA5" s="58">
        <v>0.34</v>
      </c>
      <c r="AB5" s="58">
        <v>0.37692307692307692</v>
      </c>
      <c r="AC5" s="58">
        <v>0.36230769230769228</v>
      </c>
      <c r="AD5" s="58">
        <v>0.36153846153846148</v>
      </c>
      <c r="AE5" s="58">
        <v>0.37384615384615388</v>
      </c>
      <c r="AF5" s="58">
        <v>0.36307692307692307</v>
      </c>
      <c r="AG5" s="58">
        <v>0.35307692307692312</v>
      </c>
      <c r="AH5" s="58">
        <v>0.35692307692307701</v>
      </c>
      <c r="AI5" s="58">
        <v>0.34384615384615391</v>
      </c>
      <c r="AJ5" s="58">
        <v>0.36769230769230771</v>
      </c>
      <c r="AK5" s="58">
        <v>0.32538461538461538</v>
      </c>
      <c r="AL5" s="58">
        <v>0.37769230769230772</v>
      </c>
      <c r="AM5" s="58">
        <v>0.35076923076923078</v>
      </c>
      <c r="AN5" s="58">
        <v>0.36230769230769228</v>
      </c>
      <c r="AO5" s="58">
        <v>0.36615384615384611</v>
      </c>
      <c r="AP5" s="58">
        <v>0.34769230769230769</v>
      </c>
      <c r="AQ5" s="58">
        <v>0.36846153846153851</v>
      </c>
      <c r="AR5" s="58">
        <v>0.3792307692307692</v>
      </c>
      <c r="AS5" s="58">
        <v>0.34384615384615391</v>
      </c>
      <c r="AT5" s="58">
        <v>0.34307692307692311</v>
      </c>
      <c r="AU5" s="58">
        <v>0.33923076923076922</v>
      </c>
      <c r="AV5" s="58">
        <v>0.35153846153846152</v>
      </c>
      <c r="AW5" s="58">
        <v>0.34846153846153849</v>
      </c>
      <c r="AX5" s="58">
        <v>0.38538461538461538</v>
      </c>
      <c r="AY5" s="58">
        <v>0.35307692307692312</v>
      </c>
      <c r="AZ5" s="58">
        <v>0.37846153846153852</v>
      </c>
      <c r="BA5" s="58">
        <v>0.36538461538461542</v>
      </c>
      <c r="BB5" s="58">
        <v>0.34769230769230769</v>
      </c>
      <c r="BC5" s="58">
        <v>0.35230769230769232</v>
      </c>
      <c r="BD5" s="58">
        <v>0.38307692307692309</v>
      </c>
      <c r="BE5" s="58">
        <v>0.35615384615384621</v>
      </c>
      <c r="BF5" s="58">
        <v>0.33076923076923082</v>
      </c>
      <c r="BG5" s="58">
        <v>0.34</v>
      </c>
      <c r="BH5" s="58">
        <v>0.37230769230769228</v>
      </c>
      <c r="BI5" s="58">
        <v>0.35769230769230759</v>
      </c>
      <c r="BJ5" s="58">
        <v>0.37692307692307692</v>
      </c>
      <c r="BK5" s="58">
        <v>0.37230769230769228</v>
      </c>
      <c r="BL5" s="58">
        <v>0.33923076923076922</v>
      </c>
      <c r="BM5" s="58">
        <v>0.33846153846153848</v>
      </c>
      <c r="BN5" s="58">
        <v>0.34</v>
      </c>
      <c r="BO5" s="58">
        <v>0.36230769230769228</v>
      </c>
      <c r="BP5" s="60">
        <f t="shared" ref="BP5:BP13" si="0">IFERROR(AVERAGE(B5,D5,F5,H5,J5,L5,N5,P5,R5,T5,V5,X5,Z5,AB5,AD5,AF5,AH5,AJ5,AL5,AN5,AP5,AR5,AT5,AV5,AX5,AZ5,BB5,BD5,BF5,BH5,BJ5,BL5,BN5),0)</f>
        <v>0.36503496503496502</v>
      </c>
      <c r="BQ5" s="60">
        <f t="shared" ref="BQ5:BQ13" si="1">IFERROR(AVERAGE(C5,E5,G5,I5,K5,M5,O5,Q5,S5,U5,W5,Y5,AA5,AC5,AE5,AG5,AI5,AK5,AM5,AO5,AQ5,AS5,AU5,AW5,AY5,BA5,BC5,BE5,BG5,BI5,BK5,BM5,BO5),0)</f>
        <v>0.35300699300699301</v>
      </c>
      <c r="BR5" s="58"/>
      <c r="BS5" s="34" t="s">
        <v>653</v>
      </c>
    </row>
    <row r="6" spans="1:71" ht="30" customHeight="1" x14ac:dyDescent="0.3">
      <c r="A6" s="13" t="s">
        <v>671</v>
      </c>
      <c r="B6" s="58">
        <v>0.4375</v>
      </c>
      <c r="C6" s="58">
        <v>0.45250000000000001</v>
      </c>
      <c r="D6" s="58">
        <v>0.45</v>
      </c>
      <c r="E6" s="58">
        <v>0.40749999999999997</v>
      </c>
      <c r="F6" s="58">
        <v>0.46500000000000002</v>
      </c>
      <c r="G6" s="58">
        <v>0.44750000000000001</v>
      </c>
      <c r="H6" s="58">
        <v>0.38</v>
      </c>
      <c r="I6" s="58">
        <v>0.42499999999999999</v>
      </c>
      <c r="J6" s="58">
        <v>0.4</v>
      </c>
      <c r="K6" s="58">
        <v>0.44</v>
      </c>
      <c r="L6" s="58">
        <v>0.42</v>
      </c>
      <c r="M6" s="58">
        <v>0.40749999999999997</v>
      </c>
      <c r="N6" s="58">
        <v>0.42249999999999999</v>
      </c>
      <c r="O6" s="58">
        <v>0.41</v>
      </c>
      <c r="P6" s="58">
        <v>0.41</v>
      </c>
      <c r="Q6" s="58">
        <v>0.46750000000000003</v>
      </c>
      <c r="R6" s="58">
        <v>0.39250000000000002</v>
      </c>
      <c r="S6" s="58">
        <v>0.39750000000000002</v>
      </c>
      <c r="T6" s="58">
        <v>0.3725</v>
      </c>
      <c r="U6" s="58">
        <v>0.41249999999999998</v>
      </c>
      <c r="V6" s="58">
        <v>0.36749999999999999</v>
      </c>
      <c r="W6" s="58">
        <v>0.45250000000000001</v>
      </c>
      <c r="X6" s="58">
        <v>0.41749999999999998</v>
      </c>
      <c r="Y6" s="58">
        <v>0.44</v>
      </c>
      <c r="Z6" s="58">
        <v>0.505</v>
      </c>
      <c r="AA6" s="58">
        <v>0.45500000000000002</v>
      </c>
      <c r="AB6" s="58">
        <v>0.44500000000000001</v>
      </c>
      <c r="AC6" s="58">
        <v>0.41249999999999998</v>
      </c>
      <c r="AD6" s="58">
        <v>0.46</v>
      </c>
      <c r="AE6" s="58">
        <v>0.46500000000000002</v>
      </c>
      <c r="AF6" s="58">
        <v>0.45</v>
      </c>
      <c r="AG6" s="58">
        <v>0.39750000000000002</v>
      </c>
      <c r="AH6" s="58">
        <v>0.46750000000000003</v>
      </c>
      <c r="AI6" s="58">
        <v>0.43</v>
      </c>
      <c r="AJ6" s="58">
        <v>0.4325</v>
      </c>
      <c r="AK6" s="58">
        <v>0.42</v>
      </c>
      <c r="AL6" s="58">
        <v>0.39750000000000002</v>
      </c>
      <c r="AM6" s="58">
        <v>0.44750000000000001</v>
      </c>
      <c r="AN6" s="58">
        <v>0.41499999999999998</v>
      </c>
      <c r="AO6" s="58">
        <v>0.47499999999999998</v>
      </c>
      <c r="AP6" s="58">
        <v>0.41</v>
      </c>
      <c r="AQ6" s="58">
        <v>0.45750000000000002</v>
      </c>
      <c r="AR6" s="58">
        <v>0.45</v>
      </c>
      <c r="AS6" s="58">
        <v>0.45250000000000001</v>
      </c>
      <c r="AT6" s="58">
        <v>0.41</v>
      </c>
      <c r="AU6" s="58">
        <v>0.42</v>
      </c>
      <c r="AV6" s="58">
        <v>0.41499999999999998</v>
      </c>
      <c r="AW6" s="58">
        <v>0.42249999999999999</v>
      </c>
      <c r="AX6" s="58">
        <v>0.4</v>
      </c>
      <c r="AY6" s="58">
        <v>0.42749999999999999</v>
      </c>
      <c r="AZ6" s="58">
        <v>0.48249999999999998</v>
      </c>
      <c r="BA6" s="58">
        <v>0.45</v>
      </c>
      <c r="BB6" s="58">
        <v>0.42249999999999999</v>
      </c>
      <c r="BC6" s="58">
        <v>0.39750000000000002</v>
      </c>
      <c r="BD6" s="58">
        <v>0.37</v>
      </c>
      <c r="BE6" s="58">
        <v>0.42</v>
      </c>
      <c r="BF6" s="58">
        <v>0.43</v>
      </c>
      <c r="BG6" s="58">
        <v>0.46750000000000003</v>
      </c>
      <c r="BH6" s="58">
        <v>0.39750000000000002</v>
      </c>
      <c r="BI6" s="58">
        <v>0.41749999999999998</v>
      </c>
      <c r="BJ6" s="58">
        <v>0.4</v>
      </c>
      <c r="BK6" s="58">
        <v>0.42249999999999999</v>
      </c>
      <c r="BL6" s="58">
        <v>0.47</v>
      </c>
      <c r="BM6" s="58">
        <v>0.41749999999999998</v>
      </c>
      <c r="BN6" s="58">
        <v>0.38500000000000001</v>
      </c>
      <c r="BO6" s="58">
        <v>0.44750000000000001</v>
      </c>
      <c r="BP6" s="60">
        <f t="shared" si="0"/>
        <v>0.42272727272727267</v>
      </c>
      <c r="BQ6" s="60">
        <f t="shared" si="1"/>
        <v>0.43280303030303025</v>
      </c>
      <c r="BR6" s="58"/>
      <c r="BS6" s="34"/>
    </row>
    <row r="7" spans="1:71" ht="30" customHeight="1" x14ac:dyDescent="0.3">
      <c r="A7" s="13" t="s">
        <v>672</v>
      </c>
      <c r="B7" s="58">
        <v>0.68666666666666676</v>
      </c>
      <c r="C7" s="58">
        <v>0.51583333333333337</v>
      </c>
      <c r="D7" s="58">
        <v>0.70708333333333329</v>
      </c>
      <c r="E7" s="58">
        <v>0.50583333333333336</v>
      </c>
      <c r="F7" s="58">
        <v>0.70666666666666667</v>
      </c>
      <c r="G7" s="58">
        <v>0.52083333333333337</v>
      </c>
      <c r="H7" s="58">
        <v>0.69125000000000003</v>
      </c>
      <c r="I7" s="58">
        <v>0.53500000000000003</v>
      </c>
      <c r="J7" s="58">
        <v>0.68374999999999997</v>
      </c>
      <c r="K7" s="58">
        <v>0.52541666666666664</v>
      </c>
      <c r="L7" s="58">
        <v>0.69958333333333333</v>
      </c>
      <c r="M7" s="58">
        <v>0.53541666666666665</v>
      </c>
      <c r="N7" s="58">
        <v>0.71791666666666676</v>
      </c>
      <c r="O7" s="58">
        <v>0.52791666666666659</v>
      </c>
      <c r="P7" s="58">
        <v>0.6925</v>
      </c>
      <c r="Q7" s="58">
        <v>0.49416666666666659</v>
      </c>
      <c r="R7" s="58">
        <v>0.66</v>
      </c>
      <c r="S7" s="58">
        <v>0.46124999999999999</v>
      </c>
      <c r="T7" s="58">
        <v>0.68708333333333327</v>
      </c>
      <c r="U7" s="58">
        <v>0.48208333333333342</v>
      </c>
      <c r="V7" s="58">
        <v>0.72458333333333325</v>
      </c>
      <c r="W7" s="58">
        <v>0.55000000000000004</v>
      </c>
      <c r="X7" s="58">
        <v>0.70333333333333325</v>
      </c>
      <c r="Y7" s="58">
        <v>0.49708333333333338</v>
      </c>
      <c r="Z7" s="58">
        <v>0.6841666666666667</v>
      </c>
      <c r="AA7" s="58">
        <v>0.49583333333333329</v>
      </c>
      <c r="AB7" s="58">
        <v>0.6825</v>
      </c>
      <c r="AC7" s="58">
        <v>0.49249999999999999</v>
      </c>
      <c r="AD7" s="58">
        <v>0.68666666666666676</v>
      </c>
      <c r="AE7" s="58">
        <v>0.48625000000000002</v>
      </c>
      <c r="AF7" s="58">
        <v>0.72750000000000004</v>
      </c>
      <c r="AG7" s="58">
        <v>0.52166666666666661</v>
      </c>
      <c r="AH7" s="58">
        <v>0.68916666666666671</v>
      </c>
      <c r="AI7" s="58">
        <v>0.51083333333333336</v>
      </c>
      <c r="AJ7" s="58">
        <v>0.70625000000000004</v>
      </c>
      <c r="AK7" s="58">
        <v>0.47416666666666663</v>
      </c>
      <c r="AL7" s="58">
        <v>0.69333333333333325</v>
      </c>
      <c r="AM7" s="58">
        <v>0.50208333333333333</v>
      </c>
      <c r="AN7" s="58">
        <v>0.70541666666666669</v>
      </c>
      <c r="AO7" s="58">
        <v>0.54208333333333336</v>
      </c>
      <c r="AP7" s="58">
        <v>0.70666666666666667</v>
      </c>
      <c r="AQ7" s="58">
        <v>0.5245833333333334</v>
      </c>
      <c r="AR7" s="58">
        <v>0.70583333333333331</v>
      </c>
      <c r="AS7" s="58">
        <v>0.53666666666666663</v>
      </c>
      <c r="AT7" s="58">
        <v>0.70541666666666669</v>
      </c>
      <c r="AU7" s="58">
        <v>0.53874999999999995</v>
      </c>
      <c r="AV7" s="58">
        <v>0.68166666666666675</v>
      </c>
      <c r="AW7" s="58">
        <v>0.50333333333333341</v>
      </c>
      <c r="AX7" s="58">
        <v>0.71833333333333327</v>
      </c>
      <c r="AY7" s="58">
        <v>0.4975</v>
      </c>
      <c r="AZ7" s="58">
        <v>0.69541666666666668</v>
      </c>
      <c r="BA7" s="58">
        <v>0.54708333333333337</v>
      </c>
      <c r="BB7" s="58">
        <v>0.70958333333333323</v>
      </c>
      <c r="BC7" s="58">
        <v>0.48749999999999999</v>
      </c>
      <c r="BD7" s="58">
        <v>0.71958333333333324</v>
      </c>
      <c r="BE7" s="58">
        <v>0.51208333333333333</v>
      </c>
      <c r="BF7" s="58">
        <v>0.70291666666666675</v>
      </c>
      <c r="BG7" s="58">
        <v>0.53083333333333338</v>
      </c>
      <c r="BH7" s="58">
        <v>0.70625000000000004</v>
      </c>
      <c r="BI7" s="58">
        <v>0.54416666666666669</v>
      </c>
      <c r="BJ7" s="58">
        <v>0.70874999999999999</v>
      </c>
      <c r="BK7" s="58">
        <v>0.56166666666666665</v>
      </c>
      <c r="BL7" s="58">
        <v>0.7220833333333333</v>
      </c>
      <c r="BM7" s="58">
        <v>0.52833333333333332</v>
      </c>
      <c r="BN7" s="58">
        <v>0.68041666666666667</v>
      </c>
      <c r="BO7" s="58">
        <v>0.52749999999999997</v>
      </c>
      <c r="BP7" s="60">
        <f t="shared" si="0"/>
        <v>0.69994949494949499</v>
      </c>
      <c r="BQ7" s="60">
        <f t="shared" si="1"/>
        <v>0.5156439393939396</v>
      </c>
      <c r="BR7" s="58"/>
      <c r="BS7" s="34"/>
    </row>
    <row r="8" spans="1:71" ht="30" customHeight="1" x14ac:dyDescent="0.3">
      <c r="A8" s="13" t="s">
        <v>673</v>
      </c>
      <c r="B8" s="58">
        <v>0.64888888888888885</v>
      </c>
      <c r="C8" s="58">
        <v>0.52888888888888885</v>
      </c>
      <c r="D8" s="58">
        <v>0.69888888888888889</v>
      </c>
      <c r="E8" s="58">
        <v>0.50888888888888884</v>
      </c>
      <c r="F8" s="58">
        <v>0.65555555555555556</v>
      </c>
      <c r="G8" s="58">
        <v>0.51666666666666661</v>
      </c>
      <c r="H8" s="58">
        <v>0.62333333333333341</v>
      </c>
      <c r="I8" s="58">
        <v>0.52444444444444438</v>
      </c>
      <c r="J8" s="58">
        <v>0.65333333333333332</v>
      </c>
      <c r="K8" s="58">
        <v>0.52777777777777779</v>
      </c>
      <c r="L8" s="58">
        <v>0.64444444444444438</v>
      </c>
      <c r="M8" s="58">
        <v>0.52</v>
      </c>
      <c r="N8" s="58">
        <v>0.68</v>
      </c>
      <c r="O8" s="58">
        <v>0.5444444444444444</v>
      </c>
      <c r="P8" s="58">
        <v>0.68444444444444441</v>
      </c>
      <c r="Q8" s="58">
        <v>0.51555555555555554</v>
      </c>
      <c r="R8" s="58">
        <v>0.59333333333333338</v>
      </c>
      <c r="S8" s="58">
        <v>0.47333333333333338</v>
      </c>
      <c r="T8" s="58">
        <v>0.56888888888888889</v>
      </c>
      <c r="U8" s="58">
        <v>0.47555555555555562</v>
      </c>
      <c r="V8" s="58">
        <v>0.6</v>
      </c>
      <c r="W8" s="58">
        <v>0.49888888888888888</v>
      </c>
      <c r="X8" s="58">
        <v>0.67</v>
      </c>
      <c r="Y8" s="58">
        <v>0.53111111111111109</v>
      </c>
      <c r="Z8" s="58">
        <v>0.65333333333333332</v>
      </c>
      <c r="AA8" s="58">
        <v>0.51</v>
      </c>
      <c r="AB8" s="58">
        <v>0.6711111111111111</v>
      </c>
      <c r="AC8" s="58">
        <v>0.51444444444444448</v>
      </c>
      <c r="AD8" s="58">
        <v>0.68333333333333324</v>
      </c>
      <c r="AE8" s="58">
        <v>0.52</v>
      </c>
      <c r="AF8" s="58">
        <v>0.67888888888888888</v>
      </c>
      <c r="AG8" s="58">
        <v>0.5377777777777778</v>
      </c>
      <c r="AH8" s="58">
        <v>0.65555555555555556</v>
      </c>
      <c r="AI8" s="58">
        <v>0.52222222222222225</v>
      </c>
      <c r="AJ8" s="58">
        <v>0.65333333333333332</v>
      </c>
      <c r="AK8" s="58">
        <v>0.46555555555555561</v>
      </c>
      <c r="AL8" s="58">
        <v>0.63</v>
      </c>
      <c r="AM8" s="58">
        <v>0.49333333333333329</v>
      </c>
      <c r="AN8" s="58">
        <v>0.6744444444444444</v>
      </c>
      <c r="AO8" s="58">
        <v>0.55888888888888888</v>
      </c>
      <c r="AP8" s="58">
        <v>0.69222222222222229</v>
      </c>
      <c r="AQ8" s="58">
        <v>0.50333333333333341</v>
      </c>
      <c r="AR8" s="58">
        <v>0.62666666666666659</v>
      </c>
      <c r="AS8" s="58">
        <v>0.49555555555555558</v>
      </c>
      <c r="AT8" s="58">
        <v>0.65444444444444438</v>
      </c>
      <c r="AU8" s="58">
        <v>0.5066666666666666</v>
      </c>
      <c r="AV8" s="58">
        <v>0.62666666666666659</v>
      </c>
      <c r="AW8" s="58">
        <v>0.49444444444444441</v>
      </c>
      <c r="AX8" s="58">
        <v>0.67666666666666675</v>
      </c>
      <c r="AY8" s="58">
        <v>0.48777777777777781</v>
      </c>
      <c r="AZ8" s="58">
        <v>0.68222222222222229</v>
      </c>
      <c r="BA8" s="58">
        <v>0.54222222222222216</v>
      </c>
      <c r="BB8" s="58">
        <v>0.66333333333333333</v>
      </c>
      <c r="BC8" s="58">
        <v>0.47666666666666663</v>
      </c>
      <c r="BD8" s="58">
        <v>0.63888888888888884</v>
      </c>
      <c r="BE8" s="58">
        <v>0.49333333333333329</v>
      </c>
      <c r="BF8" s="58">
        <v>0.68222222222222229</v>
      </c>
      <c r="BG8" s="58">
        <v>0.52666666666666662</v>
      </c>
      <c r="BH8" s="58">
        <v>0.65333333333333332</v>
      </c>
      <c r="BI8" s="58">
        <v>0.53111111111111109</v>
      </c>
      <c r="BJ8" s="58">
        <v>0.62444444444444447</v>
      </c>
      <c r="BK8" s="58">
        <v>0.52666666666666662</v>
      </c>
      <c r="BL8" s="58">
        <v>0.68666666666666676</v>
      </c>
      <c r="BM8" s="58">
        <v>0.52888888888888885</v>
      </c>
      <c r="BN8" s="58">
        <v>0.64333333333333331</v>
      </c>
      <c r="BO8" s="58">
        <v>0.51333333333333331</v>
      </c>
      <c r="BP8" s="60">
        <f t="shared" si="0"/>
        <v>0.6537037037037039</v>
      </c>
      <c r="BQ8" s="60">
        <f t="shared" si="1"/>
        <v>0.51255892255892244</v>
      </c>
      <c r="BR8" s="58"/>
      <c r="BS8" s="34"/>
    </row>
    <row r="9" spans="1:71" ht="30" customHeight="1" x14ac:dyDescent="0.3">
      <c r="A9" s="13" t="s">
        <v>661</v>
      </c>
      <c r="B9" s="58">
        <v>0.40571428571428569</v>
      </c>
      <c r="C9" s="58">
        <v>0.45285714285714279</v>
      </c>
      <c r="D9" s="58">
        <v>0.39428571428571429</v>
      </c>
      <c r="E9" s="58">
        <v>0.42285714285714282</v>
      </c>
      <c r="F9" s="58">
        <v>0.45142857142857151</v>
      </c>
      <c r="G9" s="58">
        <v>0.48857142857142849</v>
      </c>
      <c r="H9" s="58">
        <v>0.41428571428571431</v>
      </c>
      <c r="I9" s="58">
        <v>0.46285714285714291</v>
      </c>
      <c r="J9" s="58">
        <v>0.40571428571428569</v>
      </c>
      <c r="K9" s="58">
        <v>0.48</v>
      </c>
      <c r="L9" s="58">
        <v>0.42142857142857149</v>
      </c>
      <c r="M9" s="58">
        <v>0.52714285714285714</v>
      </c>
      <c r="N9" s="58">
        <v>0.42285714285714282</v>
      </c>
      <c r="O9" s="58">
        <v>0.47428571428571431</v>
      </c>
      <c r="P9" s="58">
        <v>0.42285714285714282</v>
      </c>
      <c r="Q9" s="58">
        <v>0.45428571428571429</v>
      </c>
      <c r="R9" s="58">
        <v>0.44</v>
      </c>
      <c r="S9" s="58">
        <v>0.40714285714285708</v>
      </c>
      <c r="T9" s="58">
        <v>0.41714285714285709</v>
      </c>
      <c r="U9" s="58">
        <v>0.46285714285714291</v>
      </c>
      <c r="V9" s="58">
        <v>0.42142857142857149</v>
      </c>
      <c r="W9" s="58">
        <v>0.46714285714285708</v>
      </c>
      <c r="X9" s="58">
        <v>0.4157142857142857</v>
      </c>
      <c r="Y9" s="58">
        <v>0.48714285714285721</v>
      </c>
      <c r="Z9" s="58">
        <v>0.42857142857142849</v>
      </c>
      <c r="AA9" s="58">
        <v>0.46142857142857152</v>
      </c>
      <c r="AB9" s="58">
        <v>0.44142857142857139</v>
      </c>
      <c r="AC9" s="58">
        <v>0.43285714285714277</v>
      </c>
      <c r="AD9" s="58">
        <v>0.45857142857142852</v>
      </c>
      <c r="AE9" s="58">
        <v>0.48857142857142849</v>
      </c>
      <c r="AF9" s="58">
        <v>0.39857142857142852</v>
      </c>
      <c r="AG9" s="58">
        <v>0.44428571428571428</v>
      </c>
      <c r="AH9" s="58">
        <v>0.43571428571428572</v>
      </c>
      <c r="AI9" s="58">
        <v>0.44428571428571428</v>
      </c>
      <c r="AJ9" s="58">
        <v>0.41</v>
      </c>
      <c r="AK9" s="58">
        <v>0.44857142857142862</v>
      </c>
      <c r="AL9" s="58">
        <v>0.42428571428571432</v>
      </c>
      <c r="AM9" s="58">
        <v>0.45285714285714279</v>
      </c>
      <c r="AN9" s="58">
        <v>0.44</v>
      </c>
      <c r="AO9" s="58">
        <v>0.47</v>
      </c>
      <c r="AP9" s="58">
        <v>0.42285714285714282</v>
      </c>
      <c r="AQ9" s="58">
        <v>0.45857142857142852</v>
      </c>
      <c r="AR9" s="58">
        <v>0.39</v>
      </c>
      <c r="AS9" s="58">
        <v>0.42428571428571432</v>
      </c>
      <c r="AT9" s="58">
        <v>0.43857142857142861</v>
      </c>
      <c r="AU9" s="58">
        <v>0.47</v>
      </c>
      <c r="AV9" s="58">
        <v>0.42142857142857149</v>
      </c>
      <c r="AW9" s="58">
        <v>0.42428571428571432</v>
      </c>
      <c r="AX9" s="58">
        <v>0.39</v>
      </c>
      <c r="AY9" s="58">
        <v>0.44285714285714278</v>
      </c>
      <c r="AZ9" s="58">
        <v>0.37857142857142861</v>
      </c>
      <c r="BA9" s="58">
        <v>0.47428571428571431</v>
      </c>
      <c r="BB9" s="58">
        <v>0.42142857142857149</v>
      </c>
      <c r="BC9" s="58">
        <v>0.44857142857142862</v>
      </c>
      <c r="BD9" s="58">
        <v>0.41428571428571431</v>
      </c>
      <c r="BE9" s="58">
        <v>0.45714285714285707</v>
      </c>
      <c r="BF9" s="58">
        <v>0.43285714285714277</v>
      </c>
      <c r="BG9" s="58">
        <v>0.49285714285714283</v>
      </c>
      <c r="BH9" s="58">
        <v>0.4157142857142857</v>
      </c>
      <c r="BI9" s="58">
        <v>0.44857142857142862</v>
      </c>
      <c r="BJ9" s="58">
        <v>0.44571428571428567</v>
      </c>
      <c r="BK9" s="58">
        <v>0.49857142857142861</v>
      </c>
      <c r="BL9" s="58">
        <v>0.42714285714285721</v>
      </c>
      <c r="BM9" s="58">
        <v>0.44714285714285718</v>
      </c>
      <c r="BN9" s="58">
        <v>0.41857142857142848</v>
      </c>
      <c r="BO9" s="58">
        <v>0.48</v>
      </c>
      <c r="BP9" s="60">
        <f t="shared" si="0"/>
        <v>0.42082251082251082</v>
      </c>
      <c r="BQ9" s="60">
        <f t="shared" si="1"/>
        <v>0.46051948051948061</v>
      </c>
      <c r="BR9" s="58"/>
      <c r="BS9" s="34"/>
    </row>
    <row r="10" spans="1:71" ht="30" customHeight="1" x14ac:dyDescent="0.3">
      <c r="A10" s="13" t="s">
        <v>674</v>
      </c>
      <c r="B10" s="58">
        <v>0.70900000000000007</v>
      </c>
      <c r="C10" s="58">
        <v>0.52900000000000003</v>
      </c>
      <c r="D10" s="58">
        <v>0.71799999999999997</v>
      </c>
      <c r="E10" s="58">
        <v>0.49399999999999999</v>
      </c>
      <c r="F10" s="58">
        <v>0.73</v>
      </c>
      <c r="G10" s="58">
        <v>0.53500000000000003</v>
      </c>
      <c r="H10" s="58">
        <v>0.71200000000000008</v>
      </c>
      <c r="I10" s="58">
        <v>0.52900000000000003</v>
      </c>
      <c r="J10" s="58">
        <v>0.72699999999999998</v>
      </c>
      <c r="K10" s="58">
        <v>0.53200000000000003</v>
      </c>
      <c r="L10" s="58">
        <v>0.70700000000000007</v>
      </c>
      <c r="M10" s="58">
        <v>0.57899999999999996</v>
      </c>
      <c r="N10" s="58">
        <v>0.72299999999999998</v>
      </c>
      <c r="O10" s="58">
        <v>0.53600000000000003</v>
      </c>
      <c r="P10" s="58">
        <v>0.69799999999999995</v>
      </c>
      <c r="Q10" s="58">
        <v>0.50800000000000001</v>
      </c>
      <c r="R10" s="58">
        <v>0.71400000000000008</v>
      </c>
      <c r="S10" s="58">
        <v>0.47</v>
      </c>
      <c r="T10" s="58">
        <v>0.70900000000000007</v>
      </c>
      <c r="U10" s="58">
        <v>0.49099999999999999</v>
      </c>
      <c r="V10" s="58">
        <v>0.748</v>
      </c>
      <c r="W10" s="58">
        <v>0.58299999999999996</v>
      </c>
      <c r="X10" s="58">
        <v>0.72699999999999998</v>
      </c>
      <c r="Y10" s="58">
        <v>0.52300000000000002</v>
      </c>
      <c r="Z10" s="58">
        <v>0.70499999999999996</v>
      </c>
      <c r="AA10" s="58">
        <v>0.505</v>
      </c>
      <c r="AB10" s="58">
        <v>0.7</v>
      </c>
      <c r="AC10" s="58">
        <v>0.52800000000000002</v>
      </c>
      <c r="AD10" s="58">
        <v>0.68900000000000006</v>
      </c>
      <c r="AE10" s="58">
        <v>0.51500000000000001</v>
      </c>
      <c r="AF10" s="58">
        <v>0.71</v>
      </c>
      <c r="AG10" s="58">
        <v>0.54299999999999993</v>
      </c>
      <c r="AH10" s="58">
        <v>0.69599999999999995</v>
      </c>
      <c r="AI10" s="58">
        <v>0.54</v>
      </c>
      <c r="AJ10" s="58">
        <v>0.73799999999999999</v>
      </c>
      <c r="AK10" s="58">
        <v>0.48599999999999999</v>
      </c>
      <c r="AL10" s="58">
        <v>0.71200000000000008</v>
      </c>
      <c r="AM10" s="58">
        <v>0.54799999999999993</v>
      </c>
      <c r="AN10" s="58">
        <v>0.73499999999999999</v>
      </c>
      <c r="AO10" s="58">
        <v>0.57299999999999995</v>
      </c>
      <c r="AP10" s="58">
        <v>0.72499999999999998</v>
      </c>
      <c r="AQ10" s="58">
        <v>0.51700000000000002</v>
      </c>
      <c r="AR10" s="58">
        <v>0.71499999999999997</v>
      </c>
      <c r="AS10" s="58">
        <v>0.54200000000000004</v>
      </c>
      <c r="AT10" s="58">
        <v>0.68900000000000006</v>
      </c>
      <c r="AU10" s="58">
        <v>0.53799999999999992</v>
      </c>
      <c r="AV10" s="58">
        <v>0.70499999999999996</v>
      </c>
      <c r="AW10" s="58">
        <v>0.51</v>
      </c>
      <c r="AX10" s="58">
        <v>0.74</v>
      </c>
      <c r="AY10" s="58">
        <v>0.51800000000000002</v>
      </c>
      <c r="AZ10" s="58">
        <v>0.71599999999999997</v>
      </c>
      <c r="BA10" s="58">
        <v>0.55899999999999994</v>
      </c>
      <c r="BB10" s="58">
        <v>0.71499999999999997</v>
      </c>
      <c r="BC10" s="58">
        <v>0.48499999999999999</v>
      </c>
      <c r="BD10" s="58">
        <v>0.7340000000000001</v>
      </c>
      <c r="BE10" s="58">
        <v>0.54400000000000004</v>
      </c>
      <c r="BF10" s="58">
        <v>0.70599999999999996</v>
      </c>
      <c r="BG10" s="58">
        <v>0.54100000000000004</v>
      </c>
      <c r="BH10" s="58">
        <v>0.69799999999999995</v>
      </c>
      <c r="BI10" s="58">
        <v>0.54700000000000004</v>
      </c>
      <c r="BJ10" s="58">
        <v>0.71700000000000008</v>
      </c>
      <c r="BK10" s="58">
        <v>0.56600000000000006</v>
      </c>
      <c r="BL10" s="58">
        <v>0.71</v>
      </c>
      <c r="BM10" s="58">
        <v>0.55899999999999994</v>
      </c>
      <c r="BN10" s="58">
        <v>0.71599999999999997</v>
      </c>
      <c r="BO10" s="58">
        <v>0.54400000000000004</v>
      </c>
      <c r="BP10" s="60">
        <f t="shared" si="0"/>
        <v>0.71493939393939387</v>
      </c>
      <c r="BQ10" s="60">
        <f t="shared" si="1"/>
        <v>0.53081818181818186</v>
      </c>
      <c r="BR10" s="58"/>
      <c r="BS10" s="34"/>
    </row>
    <row r="11" spans="1:71" ht="30" customHeight="1" x14ac:dyDescent="0.3">
      <c r="A11" s="13" t="s">
        <v>675</v>
      </c>
      <c r="B11" s="58">
        <v>0.81285714285714294</v>
      </c>
      <c r="C11" s="58">
        <v>0.56000000000000005</v>
      </c>
      <c r="D11" s="58">
        <v>0.81714285714285706</v>
      </c>
      <c r="E11" s="58">
        <v>0.5</v>
      </c>
      <c r="F11" s="58">
        <v>0.82</v>
      </c>
      <c r="G11" s="58">
        <v>0.60142857142857142</v>
      </c>
      <c r="H11" s="58">
        <v>0.78285714285714292</v>
      </c>
      <c r="I11" s="58">
        <v>0.57428571428571429</v>
      </c>
      <c r="J11" s="58">
        <v>0.79428571428571426</v>
      </c>
      <c r="K11" s="58">
        <v>0.56000000000000005</v>
      </c>
      <c r="L11" s="58">
        <v>0.82428571428571429</v>
      </c>
      <c r="M11" s="58">
        <v>0.65142857142857136</v>
      </c>
      <c r="N11" s="58">
        <v>0.83714285714285708</v>
      </c>
      <c r="O11" s="58">
        <v>0.57428571428571429</v>
      </c>
      <c r="P11" s="58">
        <v>0.80285714285714294</v>
      </c>
      <c r="Q11" s="58">
        <v>0.54428571428571426</v>
      </c>
      <c r="R11" s="58">
        <v>0.77428571428571435</v>
      </c>
      <c r="S11" s="58">
        <v>0.49714285714285722</v>
      </c>
      <c r="T11" s="58">
        <v>0.78714285714285703</v>
      </c>
      <c r="U11" s="58">
        <v>0.52428571428571435</v>
      </c>
      <c r="V11" s="58">
        <v>0.85285714285714287</v>
      </c>
      <c r="W11" s="58">
        <v>0.64571428571428569</v>
      </c>
      <c r="X11" s="58">
        <v>0.82571428571428573</v>
      </c>
      <c r="Y11" s="58">
        <v>0.56857142857142851</v>
      </c>
      <c r="Z11" s="58">
        <v>0.7985714285714286</v>
      </c>
      <c r="AA11" s="58">
        <v>0.51714285714285713</v>
      </c>
      <c r="AB11" s="58">
        <v>0.82857142857142863</v>
      </c>
      <c r="AC11" s="58">
        <v>0.5614285714285715</v>
      </c>
      <c r="AD11" s="58">
        <v>0.78714285714285703</v>
      </c>
      <c r="AE11" s="58">
        <v>0.55285714285714282</v>
      </c>
      <c r="AF11" s="58">
        <v>0.85428571428571431</v>
      </c>
      <c r="AG11" s="58">
        <v>0.59428571428571431</v>
      </c>
      <c r="AH11" s="58">
        <v>0.80571428571428572</v>
      </c>
      <c r="AI11" s="58">
        <v>0.57571428571428573</v>
      </c>
      <c r="AJ11" s="58">
        <v>0.81142857142857139</v>
      </c>
      <c r="AK11" s="58">
        <v>0.51857142857142857</v>
      </c>
      <c r="AL11" s="58">
        <v>0.81714285714285706</v>
      </c>
      <c r="AM11" s="58">
        <v>0.60571428571428565</v>
      </c>
      <c r="AN11" s="58">
        <v>0.81571428571428573</v>
      </c>
      <c r="AO11" s="58">
        <v>0.61857142857142855</v>
      </c>
      <c r="AP11" s="58">
        <v>0.82571428571428573</v>
      </c>
      <c r="AQ11" s="58">
        <v>0.58142857142857141</v>
      </c>
      <c r="AR11" s="58">
        <v>0.82285714285714295</v>
      </c>
      <c r="AS11" s="58">
        <v>0.60285714285714287</v>
      </c>
      <c r="AT11" s="58">
        <v>0.82</v>
      </c>
      <c r="AU11" s="58">
        <v>0.59428571428571431</v>
      </c>
      <c r="AV11" s="58">
        <v>0.81571428571428573</v>
      </c>
      <c r="AW11" s="58">
        <v>0.55428571428571427</v>
      </c>
      <c r="AX11" s="58">
        <v>0.84428571428571431</v>
      </c>
      <c r="AY11" s="58">
        <v>0.54</v>
      </c>
      <c r="AZ11" s="58">
        <v>0.83714285714285708</v>
      </c>
      <c r="BA11" s="58">
        <v>0.6</v>
      </c>
      <c r="BB11" s="58">
        <v>0.83</v>
      </c>
      <c r="BC11" s="58">
        <v>0.51571428571428568</v>
      </c>
      <c r="BD11" s="58">
        <v>0.8571428571428571</v>
      </c>
      <c r="BE11" s="58">
        <v>0.59428571428571431</v>
      </c>
      <c r="BF11" s="58">
        <v>0.84</v>
      </c>
      <c r="BG11" s="58">
        <v>0.54142857142857148</v>
      </c>
      <c r="BH11" s="58">
        <v>0.7857142857142857</v>
      </c>
      <c r="BI11" s="58">
        <v>0.59142857142857141</v>
      </c>
      <c r="BJ11" s="58">
        <v>0.81428571428571428</v>
      </c>
      <c r="BK11" s="58">
        <v>0.61142857142857143</v>
      </c>
      <c r="BL11" s="58">
        <v>0.82</v>
      </c>
      <c r="BM11" s="58">
        <v>0.59571428571428564</v>
      </c>
      <c r="BN11" s="58">
        <v>0.78</v>
      </c>
      <c r="BO11" s="58">
        <v>0.56428571428571428</v>
      </c>
      <c r="BP11" s="60">
        <f t="shared" si="0"/>
        <v>0.81645021645021643</v>
      </c>
      <c r="BQ11" s="60">
        <f t="shared" si="1"/>
        <v>0.57069264069264058</v>
      </c>
      <c r="BR11" s="58"/>
      <c r="BS11" s="34"/>
    </row>
    <row r="12" spans="1:71" ht="30" customHeight="1" x14ac:dyDescent="0.3">
      <c r="A12" s="13" t="s">
        <v>676</v>
      </c>
      <c r="B12" s="58">
        <v>0.59571428571428564</v>
      </c>
      <c r="C12" s="58">
        <v>0.56714285714285717</v>
      </c>
      <c r="D12" s="58">
        <v>0.55142857142857149</v>
      </c>
      <c r="E12" s="58">
        <v>0.54857142857142849</v>
      </c>
      <c r="F12" s="58">
        <v>0.63</v>
      </c>
      <c r="G12" s="58">
        <v>0.56857142857142851</v>
      </c>
      <c r="H12" s="58">
        <v>0.61857142857142855</v>
      </c>
      <c r="I12" s="58">
        <v>0.56428571428571428</v>
      </c>
      <c r="J12" s="58">
        <v>0.57285714285714284</v>
      </c>
      <c r="K12" s="58">
        <v>0.56857142857142851</v>
      </c>
      <c r="L12" s="58">
        <v>0.60857142857142854</v>
      </c>
      <c r="M12" s="58">
        <v>0.56999999999999995</v>
      </c>
      <c r="N12" s="58">
        <v>0.60857142857142854</v>
      </c>
      <c r="O12" s="58">
        <v>0.55285714285714282</v>
      </c>
      <c r="P12" s="58">
        <v>0.60142857142857142</v>
      </c>
      <c r="Q12" s="58">
        <v>0.58142857142857141</v>
      </c>
      <c r="R12" s="58">
        <v>0.55142857142857149</v>
      </c>
      <c r="S12" s="58">
        <v>0.51142857142857145</v>
      </c>
      <c r="T12" s="58">
        <v>0.57857142857142851</v>
      </c>
      <c r="U12" s="58">
        <v>0.53285714285714281</v>
      </c>
      <c r="V12" s="58">
        <v>0.64714285714285713</v>
      </c>
      <c r="W12" s="58">
        <v>0.54</v>
      </c>
      <c r="X12" s="58">
        <v>0.56999999999999995</v>
      </c>
      <c r="Y12" s="58">
        <v>0.55428571428571427</v>
      </c>
      <c r="Z12" s="58">
        <v>0.62</v>
      </c>
      <c r="AA12" s="58">
        <v>0.56285714285714283</v>
      </c>
      <c r="AB12" s="58">
        <v>0.60142857142857142</v>
      </c>
      <c r="AC12" s="58">
        <v>0.55428571428571427</v>
      </c>
      <c r="AD12" s="58">
        <v>0.6171428571428571</v>
      </c>
      <c r="AE12" s="58">
        <v>0.56285714285714283</v>
      </c>
      <c r="AF12" s="58">
        <v>0.57999999999999996</v>
      </c>
      <c r="AG12" s="58">
        <v>0.56428571428571428</v>
      </c>
      <c r="AH12" s="58">
        <v>0.60428571428571431</v>
      </c>
      <c r="AI12" s="58">
        <v>0.56285714285714283</v>
      </c>
      <c r="AJ12" s="58">
        <v>0.56428571428571428</v>
      </c>
      <c r="AK12" s="58">
        <v>0.48285714285714287</v>
      </c>
      <c r="AL12" s="58">
        <v>0.56714285714285717</v>
      </c>
      <c r="AM12" s="58">
        <v>0.5228571428571428</v>
      </c>
      <c r="AN12" s="58">
        <v>0.58285714285714285</v>
      </c>
      <c r="AO12" s="58">
        <v>0.5585714285714285</v>
      </c>
      <c r="AP12" s="58">
        <v>0.61</v>
      </c>
      <c r="AQ12" s="58">
        <v>0.60142857142857142</v>
      </c>
      <c r="AR12" s="58">
        <v>0.59142857142857141</v>
      </c>
      <c r="AS12" s="58">
        <v>0.54428571428571426</v>
      </c>
      <c r="AT12" s="58">
        <v>0.57857142857142851</v>
      </c>
      <c r="AU12" s="58">
        <v>0.58571428571428574</v>
      </c>
      <c r="AV12" s="58">
        <v>0.58571428571428574</v>
      </c>
      <c r="AW12" s="58">
        <v>0.53285714285714281</v>
      </c>
      <c r="AX12" s="58">
        <v>0.57428571428571429</v>
      </c>
      <c r="AY12" s="58">
        <v>0.56428571428571428</v>
      </c>
      <c r="AZ12" s="58">
        <v>0.5842857142857143</v>
      </c>
      <c r="BA12" s="58">
        <v>0.62</v>
      </c>
      <c r="BB12" s="58">
        <v>0.56428571428571428</v>
      </c>
      <c r="BC12" s="58">
        <v>0.5614285714285715</v>
      </c>
      <c r="BD12" s="58">
        <v>0.58571428571428574</v>
      </c>
      <c r="BE12" s="58">
        <v>0.54857142857142849</v>
      </c>
      <c r="BF12" s="58">
        <v>0.5971428571428572</v>
      </c>
      <c r="BG12" s="58">
        <v>0.57999999999999996</v>
      </c>
      <c r="BH12" s="58">
        <v>0.59571428571428564</v>
      </c>
      <c r="BI12" s="58">
        <v>0.55000000000000004</v>
      </c>
      <c r="BJ12" s="58">
        <v>0.57714285714285718</v>
      </c>
      <c r="BK12" s="58">
        <v>0.57857142857142851</v>
      </c>
      <c r="BL12" s="58">
        <v>0.6</v>
      </c>
      <c r="BM12" s="58">
        <v>0.55000000000000004</v>
      </c>
      <c r="BN12" s="58">
        <v>0.65571428571428569</v>
      </c>
      <c r="BO12" s="58">
        <v>0.57857142857142851</v>
      </c>
      <c r="BP12" s="60">
        <f t="shared" si="0"/>
        <v>0.59307359307359309</v>
      </c>
      <c r="BQ12" s="60">
        <f t="shared" si="1"/>
        <v>0.55839826839826834</v>
      </c>
      <c r="BR12" s="58"/>
      <c r="BS12" s="34"/>
    </row>
    <row r="13" spans="1:71" ht="30" customHeight="1" x14ac:dyDescent="0.3">
      <c r="A13" s="13" t="s">
        <v>677</v>
      </c>
      <c r="B13" s="58">
        <v>0.52200000000000002</v>
      </c>
      <c r="C13" s="58">
        <v>0.43799999999999989</v>
      </c>
      <c r="D13" s="58">
        <v>0.67599999999999993</v>
      </c>
      <c r="E13" s="58">
        <v>0.47</v>
      </c>
      <c r="F13" s="58">
        <v>0.53200000000000003</v>
      </c>
      <c r="G13" s="58">
        <v>0.51</v>
      </c>
      <c r="H13" s="58">
        <v>0.73799999999999999</v>
      </c>
      <c r="I13" s="58">
        <v>0.54200000000000004</v>
      </c>
      <c r="J13" s="58">
        <v>0.72799999999999998</v>
      </c>
      <c r="K13" s="58">
        <v>0.52600000000000002</v>
      </c>
      <c r="L13" s="58">
        <v>0.502</v>
      </c>
      <c r="M13" s="58">
        <v>0.45600000000000002</v>
      </c>
      <c r="N13" s="58">
        <v>0.63400000000000001</v>
      </c>
      <c r="O13" s="58">
        <v>0.502</v>
      </c>
      <c r="P13" s="58">
        <v>0.64599999999999991</v>
      </c>
      <c r="Q13" s="58">
        <v>0.48399999999999999</v>
      </c>
      <c r="R13" s="58">
        <v>0.56000000000000005</v>
      </c>
      <c r="S13" s="58">
        <v>0.436</v>
      </c>
      <c r="T13" s="58">
        <v>0.65799999999999992</v>
      </c>
      <c r="U13" s="58">
        <v>0.43799999999999989</v>
      </c>
      <c r="V13" s="58">
        <v>0.76800000000000002</v>
      </c>
      <c r="W13" s="58">
        <v>0.47799999999999998</v>
      </c>
      <c r="X13" s="58">
        <v>0.42799999999999999</v>
      </c>
      <c r="Y13" s="58">
        <v>0.47799999999999998</v>
      </c>
      <c r="Z13" s="58">
        <v>0.54600000000000004</v>
      </c>
      <c r="AA13" s="58">
        <v>0.45400000000000001</v>
      </c>
      <c r="AB13" s="58">
        <v>0.52600000000000002</v>
      </c>
      <c r="AC13" s="58">
        <v>0.53</v>
      </c>
      <c r="AD13" s="58">
        <v>0.47599999999999998</v>
      </c>
      <c r="AE13" s="58">
        <v>0.45</v>
      </c>
      <c r="AF13" s="58">
        <v>0.622</v>
      </c>
      <c r="AG13" s="58">
        <v>0.43799999999999989</v>
      </c>
      <c r="AH13" s="58">
        <v>0.63200000000000001</v>
      </c>
      <c r="AI13" s="58">
        <v>0.51800000000000002</v>
      </c>
      <c r="AJ13" s="58">
        <v>0.502</v>
      </c>
      <c r="AK13" s="58">
        <v>0.46800000000000003</v>
      </c>
      <c r="AL13" s="58">
        <v>0.66599999999999993</v>
      </c>
      <c r="AM13" s="58">
        <v>0.48799999999999999</v>
      </c>
      <c r="AN13" s="58">
        <v>0.61</v>
      </c>
      <c r="AO13" s="58">
        <v>0.48399999999999999</v>
      </c>
      <c r="AP13" s="58">
        <v>0.67</v>
      </c>
      <c r="AQ13" s="58">
        <v>0.46</v>
      </c>
      <c r="AR13" s="58">
        <v>0.68599999999999994</v>
      </c>
      <c r="AS13" s="58">
        <v>0.47799999999999998</v>
      </c>
      <c r="AT13" s="58">
        <v>0.55799999999999994</v>
      </c>
      <c r="AU13" s="58">
        <v>0.55000000000000004</v>
      </c>
      <c r="AV13" s="58">
        <v>0.53600000000000003</v>
      </c>
      <c r="AW13" s="58">
        <v>0.45400000000000001</v>
      </c>
      <c r="AX13" s="58">
        <v>0.64</v>
      </c>
      <c r="AY13" s="58">
        <v>0.50800000000000001</v>
      </c>
      <c r="AZ13" s="58">
        <v>0.71200000000000008</v>
      </c>
      <c r="BA13" s="58">
        <v>0.54799999999999993</v>
      </c>
      <c r="BB13" s="58">
        <v>0.68599999999999994</v>
      </c>
      <c r="BC13" s="58">
        <v>0.47199999999999998</v>
      </c>
      <c r="BD13" s="58">
        <v>0.72199999999999998</v>
      </c>
      <c r="BE13" s="58">
        <v>0.41799999999999998</v>
      </c>
      <c r="BF13" s="58">
        <v>0.63400000000000001</v>
      </c>
      <c r="BG13" s="58">
        <v>0.436</v>
      </c>
      <c r="BH13" s="58">
        <v>0.65200000000000002</v>
      </c>
      <c r="BI13" s="58">
        <v>0.442</v>
      </c>
      <c r="BJ13" s="58">
        <v>0.58399999999999996</v>
      </c>
      <c r="BK13" s="58">
        <v>0.56200000000000006</v>
      </c>
      <c r="BL13" s="58">
        <v>0.52400000000000002</v>
      </c>
      <c r="BM13" s="58">
        <v>0.48</v>
      </c>
      <c r="BN13" s="58">
        <v>0.65200000000000002</v>
      </c>
      <c r="BO13" s="58">
        <v>0.48799999999999999</v>
      </c>
      <c r="BP13" s="60">
        <f t="shared" si="0"/>
        <v>0.61296969696969716</v>
      </c>
      <c r="BQ13" s="60">
        <f t="shared" si="1"/>
        <v>0.48133333333333328</v>
      </c>
      <c r="BR13" s="58"/>
      <c r="BS13" s="34"/>
    </row>
  </sheetData>
  <mergeCells count="40">
    <mergeCell ref="A1:BS1"/>
    <mergeCell ref="A2:BS2"/>
    <mergeCell ref="A3:A4"/>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P3:BP4"/>
    <mergeCell ref="BQ3:BQ4"/>
    <mergeCell ref="BR3:BR4"/>
    <mergeCell ref="BS3:BS4"/>
    <mergeCell ref="BF3:BG3"/>
    <mergeCell ref="BH3:BI3"/>
    <mergeCell ref="BJ3:BK3"/>
    <mergeCell ref="BL3:BM3"/>
    <mergeCell ref="BN3:BO3"/>
  </mergeCells>
  <conditionalFormatting sqref="C5:C13">
    <cfRule type="cellIs" dxfId="76" priority="1" operator="greaterThan">
      <formula>B5</formula>
    </cfRule>
  </conditionalFormatting>
  <conditionalFormatting sqref="E5:E13">
    <cfRule type="cellIs" dxfId="75" priority="2" operator="greaterThan">
      <formula>D5</formula>
    </cfRule>
  </conditionalFormatting>
  <conditionalFormatting sqref="G5:G13">
    <cfRule type="cellIs" dxfId="74" priority="3" operator="greaterThan">
      <formula>F5</formula>
    </cfRule>
  </conditionalFormatting>
  <conditionalFormatting sqref="I5:I13">
    <cfRule type="cellIs" dxfId="73" priority="4" operator="greaterThan">
      <formula>H5</formula>
    </cfRule>
  </conditionalFormatting>
  <conditionalFormatting sqref="K5:K13">
    <cfRule type="cellIs" dxfId="72" priority="5" operator="greaterThan">
      <formula>J5</formula>
    </cfRule>
  </conditionalFormatting>
  <conditionalFormatting sqref="M5:M13">
    <cfRule type="cellIs" dxfId="71" priority="6" operator="greaterThan">
      <formula>L5</formula>
    </cfRule>
  </conditionalFormatting>
  <conditionalFormatting sqref="O5:O13">
    <cfRule type="cellIs" dxfId="70" priority="7" operator="greaterThan">
      <formula>N5</formula>
    </cfRule>
  </conditionalFormatting>
  <conditionalFormatting sqref="Q5:Q13">
    <cfRule type="cellIs" dxfId="69" priority="8" operator="greaterThan">
      <formula>P5</formula>
    </cfRule>
  </conditionalFormatting>
  <conditionalFormatting sqref="S5:S13">
    <cfRule type="cellIs" dxfId="68" priority="9" operator="greaterThan">
      <formula>R5</formula>
    </cfRule>
  </conditionalFormatting>
  <conditionalFormatting sqref="U5:U13">
    <cfRule type="cellIs" dxfId="67" priority="10" operator="greaterThan">
      <formula>T5</formula>
    </cfRule>
  </conditionalFormatting>
  <conditionalFormatting sqref="W5:W13">
    <cfRule type="cellIs" dxfId="66" priority="11" operator="greaterThan">
      <formula>V5</formula>
    </cfRule>
  </conditionalFormatting>
  <conditionalFormatting sqref="Y5:Y13">
    <cfRule type="cellIs" dxfId="65" priority="12" operator="greaterThan">
      <formula>X5</formula>
    </cfRule>
  </conditionalFormatting>
  <conditionalFormatting sqref="AA5:AA13">
    <cfRule type="cellIs" dxfId="64" priority="13" operator="greaterThan">
      <formula>Z5</formula>
    </cfRule>
  </conditionalFormatting>
  <conditionalFormatting sqref="AC5:AC13">
    <cfRule type="cellIs" dxfId="63" priority="14" operator="greaterThan">
      <formula>AB5</formula>
    </cfRule>
  </conditionalFormatting>
  <conditionalFormatting sqref="AE5:AE13">
    <cfRule type="cellIs" dxfId="62" priority="15" operator="greaterThan">
      <formula>AD5</formula>
    </cfRule>
  </conditionalFormatting>
  <conditionalFormatting sqref="AG5:AG13">
    <cfRule type="cellIs" dxfId="61" priority="16" operator="greaterThan">
      <formula>AF5</formula>
    </cfRule>
  </conditionalFormatting>
  <conditionalFormatting sqref="AI5:AI13">
    <cfRule type="cellIs" dxfId="60" priority="17" operator="greaterThan">
      <formula>AH5</formula>
    </cfRule>
  </conditionalFormatting>
  <conditionalFormatting sqref="AK5:AK13">
    <cfRule type="cellIs" dxfId="59" priority="18" operator="greaterThan">
      <formula>AJ5</formula>
    </cfRule>
  </conditionalFormatting>
  <conditionalFormatting sqref="AM5:AM13">
    <cfRule type="cellIs" dxfId="58" priority="19" operator="greaterThan">
      <formula>AL5</formula>
    </cfRule>
  </conditionalFormatting>
  <conditionalFormatting sqref="AO5:AO13">
    <cfRule type="cellIs" dxfId="57" priority="20" operator="greaterThan">
      <formula>AN5</formula>
    </cfRule>
  </conditionalFormatting>
  <conditionalFormatting sqref="AQ5:AQ13">
    <cfRule type="cellIs" dxfId="56" priority="21" operator="greaterThan">
      <formula>AP5</formula>
    </cfRule>
  </conditionalFormatting>
  <conditionalFormatting sqref="AS5:AS13">
    <cfRule type="cellIs" dxfId="55" priority="22" operator="greaterThan">
      <formula>AR5</formula>
    </cfRule>
  </conditionalFormatting>
  <conditionalFormatting sqref="AU5:AU13">
    <cfRule type="cellIs" dxfId="54" priority="23" operator="greaterThan">
      <formula>AT5</formula>
    </cfRule>
  </conditionalFormatting>
  <conditionalFormatting sqref="AW5:AW13">
    <cfRule type="cellIs" dxfId="53" priority="24" operator="greaterThan">
      <formula>AV5</formula>
    </cfRule>
  </conditionalFormatting>
  <conditionalFormatting sqref="AY5:AY13">
    <cfRule type="cellIs" dxfId="52" priority="25" operator="greaterThan">
      <formula>AX5</formula>
    </cfRule>
  </conditionalFormatting>
  <conditionalFormatting sqref="BA5:BA13">
    <cfRule type="cellIs" dxfId="51" priority="26" operator="greaterThan">
      <formula>AZ5</formula>
    </cfRule>
  </conditionalFormatting>
  <conditionalFormatting sqref="BC5:BC13">
    <cfRule type="cellIs" dxfId="50" priority="27" operator="greaterThan">
      <formula>BB5</formula>
    </cfRule>
  </conditionalFormatting>
  <conditionalFormatting sqref="BE5:BE13">
    <cfRule type="cellIs" dxfId="49" priority="28" operator="greaterThan">
      <formula>BD5</formula>
    </cfRule>
  </conditionalFormatting>
  <conditionalFormatting sqref="BG5:BG13">
    <cfRule type="cellIs" dxfId="48" priority="29" operator="greaterThan">
      <formula>BF5</formula>
    </cfRule>
  </conditionalFormatting>
  <conditionalFormatting sqref="BI5:BI13">
    <cfRule type="cellIs" dxfId="47" priority="30" operator="greaterThan">
      <formula>BH5</formula>
    </cfRule>
  </conditionalFormatting>
  <conditionalFormatting sqref="BK5:BK13">
    <cfRule type="cellIs" dxfId="46" priority="31" operator="greaterThan">
      <formula>BJ5</formula>
    </cfRule>
  </conditionalFormatting>
  <conditionalFormatting sqref="BM5:BM13">
    <cfRule type="cellIs" dxfId="45" priority="32" operator="greaterThan">
      <formula>BL5</formula>
    </cfRule>
  </conditionalFormatting>
  <conditionalFormatting sqref="BO5:BO13">
    <cfRule type="cellIs" dxfId="44" priority="33" operator="greaterThan">
      <formula>BN5</formula>
    </cfRule>
  </conditionalFormatting>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tint="-0.749992370372631"/>
  </sheetPr>
  <dimension ref="A1:BS14"/>
  <sheetViews>
    <sheetView showGridLines="0" tabSelected="1" zoomScaleNormal="100" workbookViewId="0">
      <selection activeCell="B5" sqref="B5"/>
    </sheetView>
  </sheetViews>
  <sheetFormatPr defaultColWidth="8.6640625" defaultRowHeight="15.6" x14ac:dyDescent="0.3"/>
  <cols>
    <col min="1" max="1" width="42" style="11" customWidth="1"/>
    <col min="2" max="67" width="8" style="11" customWidth="1"/>
    <col min="68" max="69" width="13" style="11" customWidth="1"/>
    <col min="70" max="70" width="11" style="11" customWidth="1"/>
    <col min="71" max="71" width="45" style="11" customWidth="1"/>
    <col min="72" max="16384" width="8.6640625" style="11"/>
  </cols>
  <sheetData>
    <row r="1" spans="1:71" ht="25.5" customHeight="1" x14ac:dyDescent="0.3">
      <c r="A1" s="102" t="s">
        <v>680</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row>
    <row r="2" spans="1:71" x14ac:dyDescent="0.3">
      <c r="A2" s="80" t="s">
        <v>681</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row>
    <row r="3" spans="1:71" ht="30" customHeight="1" x14ac:dyDescent="0.3">
      <c r="A3" s="101" t="s">
        <v>646</v>
      </c>
      <c r="B3" s="101" t="str">
        <f>Districts_Setup!$B$4</f>
        <v>Ahmedabad</v>
      </c>
      <c r="C3" s="101"/>
      <c r="D3" s="101" t="str">
        <f>Districts_Setup!$B$5</f>
        <v>Amreli</v>
      </c>
      <c r="E3" s="101"/>
      <c r="F3" s="101" t="str">
        <f>Districts_Setup!$B$6</f>
        <v>Anand</v>
      </c>
      <c r="G3" s="101"/>
      <c r="H3" s="101" t="str">
        <f>Districts_Setup!$B$7</f>
        <v>Aravalli</v>
      </c>
      <c r="I3" s="101"/>
      <c r="J3" s="101" t="str">
        <f>Districts_Setup!$B$8</f>
        <v>Banaskantha</v>
      </c>
      <c r="K3" s="101"/>
      <c r="L3" s="101" t="str">
        <f>Districts_Setup!$B$9</f>
        <v>Bharuch</v>
      </c>
      <c r="M3" s="101"/>
      <c r="N3" s="101" t="str">
        <f>Districts_Setup!$B$10</f>
        <v>Bhavnagar</v>
      </c>
      <c r="O3" s="101"/>
      <c r="P3" s="101" t="str">
        <f>Districts_Setup!$B$11</f>
        <v>Botad</v>
      </c>
      <c r="Q3" s="101"/>
      <c r="R3" s="101" t="str">
        <f>Districts_Setup!$B$12</f>
        <v>Chhota Udepur</v>
      </c>
      <c r="S3" s="101"/>
      <c r="T3" s="101" t="str">
        <f>Districts_Setup!$B$13</f>
        <v>Dahod</v>
      </c>
      <c r="U3" s="101"/>
      <c r="V3" s="101" t="str">
        <f>Districts_Setup!$B$14</f>
        <v>Dang</v>
      </c>
      <c r="W3" s="101"/>
      <c r="X3" s="101" t="str">
        <f>Districts_Setup!$B$15</f>
        <v>Devbhoomi Dwarka</v>
      </c>
      <c r="Y3" s="101"/>
      <c r="Z3" s="101" t="str">
        <f>Districts_Setup!$B$16</f>
        <v>Gandhinagar</v>
      </c>
      <c r="AA3" s="101"/>
      <c r="AB3" s="101" t="str">
        <f>Districts_Setup!$B$17</f>
        <v>Gir Somnath</v>
      </c>
      <c r="AC3" s="101"/>
      <c r="AD3" s="101" t="str">
        <f>Districts_Setup!$B$18</f>
        <v>Jamnagar</v>
      </c>
      <c r="AE3" s="101"/>
      <c r="AF3" s="101" t="str">
        <f>Districts_Setup!$B$19</f>
        <v>Junagadh</v>
      </c>
      <c r="AG3" s="101"/>
      <c r="AH3" s="101" t="str">
        <f>Districts_Setup!$B$20</f>
        <v>Kutch</v>
      </c>
      <c r="AI3" s="101"/>
      <c r="AJ3" s="101" t="str">
        <f>Districts_Setup!$B$21</f>
        <v>Kheda</v>
      </c>
      <c r="AK3" s="101"/>
      <c r="AL3" s="101" t="str">
        <f>Districts_Setup!$B$22</f>
        <v>Mahisagar</v>
      </c>
      <c r="AM3" s="101"/>
      <c r="AN3" s="101" t="str">
        <f>Districts_Setup!$B$23</f>
        <v>Mehsana</v>
      </c>
      <c r="AO3" s="101"/>
      <c r="AP3" s="101" t="str">
        <f>Districts_Setup!$B$24</f>
        <v>Morbi</v>
      </c>
      <c r="AQ3" s="101"/>
      <c r="AR3" s="101" t="str">
        <f>Districts_Setup!$B$25</f>
        <v>Narmada</v>
      </c>
      <c r="AS3" s="101"/>
      <c r="AT3" s="101" t="str">
        <f>Districts_Setup!$B$26</f>
        <v>Navsari</v>
      </c>
      <c r="AU3" s="101"/>
      <c r="AV3" s="101" t="str">
        <f>Districts_Setup!$B$27</f>
        <v>Panchmahal</v>
      </c>
      <c r="AW3" s="101"/>
      <c r="AX3" s="101" t="str">
        <f>Districts_Setup!$B$28</f>
        <v>Patan</v>
      </c>
      <c r="AY3" s="101"/>
      <c r="AZ3" s="101" t="str">
        <f>Districts_Setup!$B$29</f>
        <v>Porbandar</v>
      </c>
      <c r="BA3" s="101"/>
      <c r="BB3" s="101" t="str">
        <f>Districts_Setup!$B$30</f>
        <v>Rajkot</v>
      </c>
      <c r="BC3" s="101"/>
      <c r="BD3" s="101" t="str">
        <f>Districts_Setup!$B$31</f>
        <v>Sabarkantha</v>
      </c>
      <c r="BE3" s="101"/>
      <c r="BF3" s="101" t="str">
        <f>Districts_Setup!$B$32</f>
        <v>Surat</v>
      </c>
      <c r="BG3" s="101"/>
      <c r="BH3" s="101" t="str">
        <f>Districts_Setup!$B$33</f>
        <v>Surendranagar</v>
      </c>
      <c r="BI3" s="101"/>
      <c r="BJ3" s="101" t="str">
        <f>Districts_Setup!$B$34</f>
        <v>Tapi</v>
      </c>
      <c r="BK3" s="101"/>
      <c r="BL3" s="101" t="str">
        <f>Districts_Setup!$B$35</f>
        <v>Vadodara</v>
      </c>
      <c r="BM3" s="101"/>
      <c r="BN3" s="101" t="str">
        <f>Districts_Setup!$B$36</f>
        <v>Valsad</v>
      </c>
      <c r="BO3" s="101"/>
      <c r="BP3" s="100" t="s">
        <v>647</v>
      </c>
      <c r="BQ3" s="100" t="s">
        <v>648</v>
      </c>
      <c r="BR3" s="100" t="s">
        <v>649</v>
      </c>
      <c r="BS3" s="100" t="s">
        <v>484</v>
      </c>
    </row>
    <row r="4" spans="1:71" ht="45" customHeight="1" x14ac:dyDescent="0.3">
      <c r="A4" s="101"/>
      <c r="B4" s="66" t="s">
        <v>650</v>
      </c>
      <c r="C4" s="66" t="s">
        <v>651</v>
      </c>
      <c r="D4" s="66" t="s">
        <v>650</v>
      </c>
      <c r="E4" s="66" t="s">
        <v>651</v>
      </c>
      <c r="F4" s="66" t="s">
        <v>650</v>
      </c>
      <c r="G4" s="66" t="s">
        <v>651</v>
      </c>
      <c r="H4" s="66" t="s">
        <v>650</v>
      </c>
      <c r="I4" s="66" t="s">
        <v>651</v>
      </c>
      <c r="J4" s="66" t="s">
        <v>650</v>
      </c>
      <c r="K4" s="66" t="s">
        <v>651</v>
      </c>
      <c r="L4" s="66" t="s">
        <v>650</v>
      </c>
      <c r="M4" s="66" t="s">
        <v>651</v>
      </c>
      <c r="N4" s="66" t="s">
        <v>650</v>
      </c>
      <c r="O4" s="66" t="s">
        <v>651</v>
      </c>
      <c r="P4" s="66" t="s">
        <v>650</v>
      </c>
      <c r="Q4" s="66" t="s">
        <v>651</v>
      </c>
      <c r="R4" s="66" t="s">
        <v>650</v>
      </c>
      <c r="S4" s="66" t="s">
        <v>651</v>
      </c>
      <c r="T4" s="66" t="s">
        <v>650</v>
      </c>
      <c r="U4" s="66" t="s">
        <v>651</v>
      </c>
      <c r="V4" s="66" t="s">
        <v>650</v>
      </c>
      <c r="W4" s="66" t="s">
        <v>651</v>
      </c>
      <c r="X4" s="66" t="s">
        <v>650</v>
      </c>
      <c r="Y4" s="66" t="s">
        <v>651</v>
      </c>
      <c r="Z4" s="66" t="s">
        <v>650</v>
      </c>
      <c r="AA4" s="66" t="s">
        <v>651</v>
      </c>
      <c r="AB4" s="66" t="s">
        <v>650</v>
      </c>
      <c r="AC4" s="66" t="s">
        <v>651</v>
      </c>
      <c r="AD4" s="66" t="s">
        <v>650</v>
      </c>
      <c r="AE4" s="66" t="s">
        <v>651</v>
      </c>
      <c r="AF4" s="66" t="s">
        <v>650</v>
      </c>
      <c r="AG4" s="66" t="s">
        <v>651</v>
      </c>
      <c r="AH4" s="66" t="s">
        <v>650</v>
      </c>
      <c r="AI4" s="66" t="s">
        <v>651</v>
      </c>
      <c r="AJ4" s="66" t="s">
        <v>650</v>
      </c>
      <c r="AK4" s="66" t="s">
        <v>651</v>
      </c>
      <c r="AL4" s="66" t="s">
        <v>650</v>
      </c>
      <c r="AM4" s="66" t="s">
        <v>651</v>
      </c>
      <c r="AN4" s="66" t="s">
        <v>650</v>
      </c>
      <c r="AO4" s="66" t="s">
        <v>651</v>
      </c>
      <c r="AP4" s="66" t="s">
        <v>650</v>
      </c>
      <c r="AQ4" s="66" t="s">
        <v>651</v>
      </c>
      <c r="AR4" s="66" t="s">
        <v>650</v>
      </c>
      <c r="AS4" s="66" t="s">
        <v>651</v>
      </c>
      <c r="AT4" s="66" t="s">
        <v>650</v>
      </c>
      <c r="AU4" s="66" t="s">
        <v>651</v>
      </c>
      <c r="AV4" s="66" t="s">
        <v>650</v>
      </c>
      <c r="AW4" s="66" t="s">
        <v>651</v>
      </c>
      <c r="AX4" s="66" t="s">
        <v>650</v>
      </c>
      <c r="AY4" s="66" t="s">
        <v>651</v>
      </c>
      <c r="AZ4" s="66" t="s">
        <v>650</v>
      </c>
      <c r="BA4" s="66" t="s">
        <v>651</v>
      </c>
      <c r="BB4" s="66" t="s">
        <v>650</v>
      </c>
      <c r="BC4" s="66" t="s">
        <v>651</v>
      </c>
      <c r="BD4" s="66" t="s">
        <v>650</v>
      </c>
      <c r="BE4" s="66" t="s">
        <v>651</v>
      </c>
      <c r="BF4" s="66" t="s">
        <v>650</v>
      </c>
      <c r="BG4" s="66" t="s">
        <v>651</v>
      </c>
      <c r="BH4" s="66" t="s">
        <v>650</v>
      </c>
      <c r="BI4" s="66" t="s">
        <v>651</v>
      </c>
      <c r="BJ4" s="66" t="s">
        <v>650</v>
      </c>
      <c r="BK4" s="66" t="s">
        <v>651</v>
      </c>
      <c r="BL4" s="66" t="s">
        <v>650</v>
      </c>
      <c r="BM4" s="66" t="s">
        <v>651</v>
      </c>
      <c r="BN4" s="66" t="s">
        <v>650</v>
      </c>
      <c r="BO4" s="66" t="s">
        <v>651</v>
      </c>
      <c r="BP4" s="100"/>
      <c r="BQ4" s="100"/>
      <c r="BR4" s="100"/>
      <c r="BS4" s="100"/>
    </row>
    <row r="5" spans="1:71" ht="30" customHeight="1" x14ac:dyDescent="0.3">
      <c r="A5" s="13" t="s">
        <v>670</v>
      </c>
      <c r="B5" s="58">
        <v>0.35</v>
      </c>
      <c r="C5" s="58">
        <v>0.34615384615384609</v>
      </c>
      <c r="D5" s="58">
        <v>0.39230769230769241</v>
      </c>
      <c r="E5" s="58">
        <v>0.39</v>
      </c>
      <c r="F5" s="58">
        <v>0.36153846153846148</v>
      </c>
      <c r="G5" s="58">
        <v>0.35461538461538461</v>
      </c>
      <c r="H5" s="58">
        <v>0.39</v>
      </c>
      <c r="I5" s="58">
        <v>0.3807692307692308</v>
      </c>
      <c r="J5" s="58">
        <v>0.41461538461538461</v>
      </c>
      <c r="K5" s="58">
        <v>0.40846153846153849</v>
      </c>
      <c r="L5" s="58">
        <v>0.37230769230769228</v>
      </c>
      <c r="M5" s="58">
        <v>0.36230769230769228</v>
      </c>
      <c r="N5" s="58">
        <v>0.39230769230769241</v>
      </c>
      <c r="O5" s="58">
        <v>0.39846153846153848</v>
      </c>
      <c r="P5" s="58">
        <v>0.37153846153846148</v>
      </c>
      <c r="Q5" s="58">
        <v>0.37461538461538457</v>
      </c>
      <c r="R5" s="58">
        <v>0.40153846153846151</v>
      </c>
      <c r="S5" s="58">
        <v>0.40153846153846151</v>
      </c>
      <c r="T5" s="58">
        <v>0.42307692307692307</v>
      </c>
      <c r="U5" s="58">
        <v>0.39923076923076922</v>
      </c>
      <c r="V5" s="58">
        <v>0.41384615384615392</v>
      </c>
      <c r="W5" s="58">
        <v>0.4</v>
      </c>
      <c r="X5" s="58">
        <v>0.37230769230769228</v>
      </c>
      <c r="Y5" s="58">
        <v>0.37615384615384612</v>
      </c>
      <c r="Z5" s="58">
        <v>0.37384615384615388</v>
      </c>
      <c r="AA5" s="58">
        <v>0.35461538461538461</v>
      </c>
      <c r="AB5" s="58">
        <v>0.38923076923076921</v>
      </c>
      <c r="AC5" s="58">
        <v>0.38</v>
      </c>
      <c r="AD5" s="58">
        <v>0.3707692307692308</v>
      </c>
      <c r="AE5" s="58">
        <v>0.36846153846153851</v>
      </c>
      <c r="AF5" s="58">
        <v>0.37307692307692308</v>
      </c>
      <c r="AG5" s="58">
        <v>0.36076923076923079</v>
      </c>
      <c r="AH5" s="58">
        <v>0.35923076923076919</v>
      </c>
      <c r="AI5" s="58">
        <v>0.36615384615384611</v>
      </c>
      <c r="AJ5" s="58">
        <v>0.36</v>
      </c>
      <c r="AK5" s="58">
        <v>0.35538461538461541</v>
      </c>
      <c r="AL5" s="58">
        <v>0.39384615384615379</v>
      </c>
      <c r="AM5" s="58">
        <v>0.37</v>
      </c>
      <c r="AN5" s="58">
        <v>0.38230769230769229</v>
      </c>
      <c r="AO5" s="58">
        <v>0.37846153846153852</v>
      </c>
      <c r="AP5" s="58">
        <v>0.36538461538461542</v>
      </c>
      <c r="AQ5" s="58">
        <v>0.37615384615384612</v>
      </c>
      <c r="AR5" s="58">
        <v>0.39615384615384608</v>
      </c>
      <c r="AS5" s="58">
        <v>0.3692307692307692</v>
      </c>
      <c r="AT5" s="58">
        <v>0.36153846153846148</v>
      </c>
      <c r="AU5" s="58">
        <v>0.34923076923076918</v>
      </c>
      <c r="AV5" s="58">
        <v>0.38846153846153852</v>
      </c>
      <c r="AW5" s="58">
        <v>0.36538461538461542</v>
      </c>
      <c r="AX5" s="58">
        <v>0.39076923076923081</v>
      </c>
      <c r="AY5" s="58">
        <v>0.40307692307692311</v>
      </c>
      <c r="AZ5" s="58">
        <v>0.35846153846153839</v>
      </c>
      <c r="BA5" s="58">
        <v>0.36230769230769228</v>
      </c>
      <c r="BB5" s="58">
        <v>0.36076923076923079</v>
      </c>
      <c r="BC5" s="58">
        <v>0.35538461538461541</v>
      </c>
      <c r="BD5" s="58">
        <v>0.37846153846153852</v>
      </c>
      <c r="BE5" s="58">
        <v>0.38384615384615389</v>
      </c>
      <c r="BF5" s="58">
        <v>0.33692307692307688</v>
      </c>
      <c r="BG5" s="58">
        <v>0.34307692307692311</v>
      </c>
      <c r="BH5" s="58">
        <v>0.38461538461538458</v>
      </c>
      <c r="BI5" s="58">
        <v>0.39230769230769241</v>
      </c>
      <c r="BJ5" s="58">
        <v>0.36615384615384611</v>
      </c>
      <c r="BK5" s="58">
        <v>0.37538461538461543</v>
      </c>
      <c r="BL5" s="58">
        <v>0.37230769230769228</v>
      </c>
      <c r="BM5" s="58">
        <v>0.34692307692307689</v>
      </c>
      <c r="BN5" s="58">
        <v>0.36</v>
      </c>
      <c r="BO5" s="58">
        <v>0.38230769230769229</v>
      </c>
      <c r="BP5" s="60">
        <f t="shared" ref="BP5:BP14" si="0">IFERROR(AVERAGE(B5,D5,F5,H5,J5,L5,N5,P5,R5,T5,V5,X5,Z5,AB5,AD5,AF5,AH5,AJ5,AL5,AN5,AP5,AR5,AT5,AV5,AX5,AZ5,BB5,BD5,BF5,BH5,BJ5,BL5,BN5),0)</f>
        <v>0.37811188811188806</v>
      </c>
      <c r="BQ5" s="60">
        <f t="shared" ref="BQ5:BQ14" si="1">IFERROR(AVERAGE(C5,E5,G5,I5,K5,M5,O5,Q5,S5,U5,W5,Y5,AA5,AC5,AE5,AG5,AI5,AK5,AM5,AO5,AQ5,AS5,AU5,AW5,AY5,BA5,BC5,BE5,BG5,BI5,BK5,BM5,BO5),0)</f>
        <v>0.37365967365967356</v>
      </c>
      <c r="BR5" s="58"/>
      <c r="BS5" s="34" t="s">
        <v>653</v>
      </c>
    </row>
    <row r="6" spans="1:71" ht="30" customHeight="1" x14ac:dyDescent="0.3">
      <c r="A6" s="13" t="s">
        <v>671</v>
      </c>
      <c r="B6" s="58">
        <v>0.51749999999999996</v>
      </c>
      <c r="C6" s="58">
        <v>0.44500000000000001</v>
      </c>
      <c r="D6" s="58">
        <v>0.45</v>
      </c>
      <c r="E6" s="58">
        <v>0.44750000000000001</v>
      </c>
      <c r="F6" s="58">
        <v>0.45250000000000001</v>
      </c>
      <c r="G6" s="58">
        <v>0.42749999999999999</v>
      </c>
      <c r="H6" s="58">
        <v>0.4425</v>
      </c>
      <c r="I6" s="58">
        <v>0.4375</v>
      </c>
      <c r="J6" s="58">
        <v>0.40749999999999997</v>
      </c>
      <c r="K6" s="58">
        <v>0.47</v>
      </c>
      <c r="L6" s="58">
        <v>0.47</v>
      </c>
      <c r="M6" s="58">
        <v>0.45500000000000002</v>
      </c>
      <c r="N6" s="58">
        <v>0.41499999999999998</v>
      </c>
      <c r="O6" s="58">
        <v>0.38750000000000001</v>
      </c>
      <c r="P6" s="58">
        <v>0.38</v>
      </c>
      <c r="Q6" s="58">
        <v>0.44500000000000001</v>
      </c>
      <c r="R6" s="58">
        <v>0.42499999999999999</v>
      </c>
      <c r="S6" s="58">
        <v>0.45250000000000001</v>
      </c>
      <c r="T6" s="58">
        <v>0.45</v>
      </c>
      <c r="U6" s="58">
        <v>0.42749999999999999</v>
      </c>
      <c r="V6" s="58">
        <v>0.36249999999999999</v>
      </c>
      <c r="W6" s="58">
        <v>0.42</v>
      </c>
      <c r="X6" s="58">
        <v>0.45</v>
      </c>
      <c r="Y6" s="58">
        <v>0.45</v>
      </c>
      <c r="Z6" s="58">
        <v>0.54249999999999998</v>
      </c>
      <c r="AA6" s="58">
        <v>0.46500000000000002</v>
      </c>
      <c r="AB6" s="58">
        <v>0.41499999999999998</v>
      </c>
      <c r="AC6" s="58">
        <v>0.39750000000000002</v>
      </c>
      <c r="AD6" s="58">
        <v>0.48</v>
      </c>
      <c r="AE6" s="58">
        <v>0.45500000000000002</v>
      </c>
      <c r="AF6" s="58">
        <v>0.44500000000000001</v>
      </c>
      <c r="AG6" s="58">
        <v>0.4375</v>
      </c>
      <c r="AH6" s="58">
        <v>0.53</v>
      </c>
      <c r="AI6" s="58">
        <v>0.4425</v>
      </c>
      <c r="AJ6" s="58">
        <v>0.45</v>
      </c>
      <c r="AK6" s="58">
        <v>0.4425</v>
      </c>
      <c r="AL6" s="58">
        <v>0.46</v>
      </c>
      <c r="AM6" s="58">
        <v>0.39250000000000002</v>
      </c>
      <c r="AN6" s="58">
        <v>0.47749999999999998</v>
      </c>
      <c r="AO6" s="58">
        <v>0.4325</v>
      </c>
      <c r="AP6" s="58">
        <v>0.44</v>
      </c>
      <c r="AQ6" s="58">
        <v>0.42249999999999999</v>
      </c>
      <c r="AR6" s="58">
        <v>0.42</v>
      </c>
      <c r="AS6" s="58">
        <v>0.44750000000000001</v>
      </c>
      <c r="AT6" s="58">
        <v>0.49249999999999999</v>
      </c>
      <c r="AU6" s="58">
        <v>0.44500000000000001</v>
      </c>
      <c r="AV6" s="58">
        <v>0.44750000000000001</v>
      </c>
      <c r="AW6" s="58">
        <v>0.44500000000000001</v>
      </c>
      <c r="AX6" s="58">
        <v>0.46250000000000002</v>
      </c>
      <c r="AY6" s="58">
        <v>0.41749999999999998</v>
      </c>
      <c r="AZ6" s="58">
        <v>0.4325</v>
      </c>
      <c r="BA6" s="58">
        <v>0.46750000000000003</v>
      </c>
      <c r="BB6" s="58">
        <v>0.46750000000000003</v>
      </c>
      <c r="BC6" s="58">
        <v>0.45</v>
      </c>
      <c r="BD6" s="58">
        <v>0.47749999999999998</v>
      </c>
      <c r="BE6" s="58">
        <v>0.43</v>
      </c>
      <c r="BF6" s="58">
        <v>0.505</v>
      </c>
      <c r="BG6" s="58">
        <v>0.42499999999999999</v>
      </c>
      <c r="BH6" s="58">
        <v>0.44</v>
      </c>
      <c r="BI6" s="58">
        <v>0.42499999999999999</v>
      </c>
      <c r="BJ6" s="58">
        <v>0.45750000000000002</v>
      </c>
      <c r="BK6" s="58">
        <v>0.4425</v>
      </c>
      <c r="BL6" s="58">
        <v>0.5575</v>
      </c>
      <c r="BM6" s="58">
        <v>0.46750000000000003</v>
      </c>
      <c r="BN6" s="58">
        <v>0.46</v>
      </c>
      <c r="BO6" s="58">
        <v>0.43</v>
      </c>
      <c r="BP6" s="60">
        <f t="shared" si="0"/>
        <v>0.45704545454545442</v>
      </c>
      <c r="BQ6" s="60">
        <f t="shared" si="1"/>
        <v>0.43772727272727269</v>
      </c>
      <c r="BR6" s="58"/>
      <c r="BS6" s="34"/>
    </row>
    <row r="7" spans="1:71" ht="30" customHeight="1" x14ac:dyDescent="0.3">
      <c r="A7" s="13" t="s">
        <v>672</v>
      </c>
      <c r="B7" s="58">
        <v>0.63187499999999996</v>
      </c>
      <c r="C7" s="58">
        <v>0.56781250000000005</v>
      </c>
      <c r="D7" s="58">
        <v>0.69062500000000004</v>
      </c>
      <c r="E7" s="58">
        <v>0.62468749999999995</v>
      </c>
      <c r="F7" s="58">
        <v>0.645625</v>
      </c>
      <c r="G7" s="58">
        <v>0.56343750000000004</v>
      </c>
      <c r="H7" s="58">
        <v>0.64437500000000003</v>
      </c>
      <c r="I7" s="58">
        <v>0.546875</v>
      </c>
      <c r="J7" s="58">
        <v>0.65749999999999997</v>
      </c>
      <c r="K7" s="58">
        <v>0.5965625</v>
      </c>
      <c r="L7" s="58">
        <v>0.62437500000000001</v>
      </c>
      <c r="M7" s="58">
        <v>0.58406250000000004</v>
      </c>
      <c r="N7" s="58">
        <v>0.68531249999999999</v>
      </c>
      <c r="O7" s="58">
        <v>0.60687500000000005</v>
      </c>
      <c r="P7" s="58">
        <v>0.68312499999999998</v>
      </c>
      <c r="Q7" s="58">
        <v>0.60531250000000003</v>
      </c>
      <c r="R7" s="58">
        <v>0.65687499999999999</v>
      </c>
      <c r="S7" s="58">
        <v>0.57656249999999998</v>
      </c>
      <c r="T7" s="58">
        <v>0.614375</v>
      </c>
      <c r="U7" s="58">
        <v>0.505</v>
      </c>
      <c r="V7" s="58">
        <v>0.6875</v>
      </c>
      <c r="W7" s="58">
        <v>0.578125</v>
      </c>
      <c r="X7" s="58">
        <v>0.66374999999999995</v>
      </c>
      <c r="Y7" s="58">
        <v>0.55687500000000001</v>
      </c>
      <c r="Z7" s="58">
        <v>0.63749999999999996</v>
      </c>
      <c r="AA7" s="58">
        <v>0.58875</v>
      </c>
      <c r="AB7" s="58">
        <v>0.63937500000000003</v>
      </c>
      <c r="AC7" s="58">
        <v>0.58218749999999997</v>
      </c>
      <c r="AD7" s="58">
        <v>0.65468749999999998</v>
      </c>
      <c r="AE7" s="58">
        <v>0.56093749999999998</v>
      </c>
      <c r="AF7" s="58">
        <v>0.67656249999999996</v>
      </c>
      <c r="AG7" s="58">
        <v>0.5965625</v>
      </c>
      <c r="AH7" s="58">
        <v>0.61406249999999996</v>
      </c>
      <c r="AI7" s="58">
        <v>0.55031249999999998</v>
      </c>
      <c r="AJ7" s="58">
        <v>0.65531249999999996</v>
      </c>
      <c r="AK7" s="58">
        <v>0.57843750000000005</v>
      </c>
      <c r="AL7" s="58">
        <v>0.65500000000000003</v>
      </c>
      <c r="AM7" s="58">
        <v>0.56374999999999997</v>
      </c>
      <c r="AN7" s="58">
        <v>0.65843750000000001</v>
      </c>
      <c r="AO7" s="58">
        <v>0.58281249999999996</v>
      </c>
      <c r="AP7" s="58">
        <v>0.68718749999999995</v>
      </c>
      <c r="AQ7" s="58">
        <v>0.59062499999999996</v>
      </c>
      <c r="AR7" s="58">
        <v>0.66125</v>
      </c>
      <c r="AS7" s="58">
        <v>0.56062500000000004</v>
      </c>
      <c r="AT7" s="58">
        <v>0.66874999999999996</v>
      </c>
      <c r="AU7" s="58">
        <v>0.59562499999999996</v>
      </c>
      <c r="AV7" s="58">
        <v>0.64812499999999995</v>
      </c>
      <c r="AW7" s="58">
        <v>0.56281250000000005</v>
      </c>
      <c r="AX7" s="58">
        <v>0.65843750000000001</v>
      </c>
      <c r="AY7" s="58">
        <v>0.57406250000000003</v>
      </c>
      <c r="AZ7" s="58">
        <v>0.64749999999999996</v>
      </c>
      <c r="BA7" s="58">
        <v>0.58968750000000003</v>
      </c>
      <c r="BB7" s="58">
        <v>0.67312499999999997</v>
      </c>
      <c r="BC7" s="58">
        <v>0.60124999999999995</v>
      </c>
      <c r="BD7" s="58">
        <v>0.65406249999999999</v>
      </c>
      <c r="BE7" s="58">
        <v>0.54812499999999997</v>
      </c>
      <c r="BF7" s="58">
        <v>0.65156250000000004</v>
      </c>
      <c r="BG7" s="58">
        <v>0.59906250000000005</v>
      </c>
      <c r="BH7" s="58">
        <v>0.6640625</v>
      </c>
      <c r="BI7" s="58">
        <v>0.60218749999999999</v>
      </c>
      <c r="BJ7" s="58">
        <v>0.64406249999999998</v>
      </c>
      <c r="BK7" s="58">
        <v>0.59</v>
      </c>
      <c r="BL7" s="58">
        <v>0.60843749999999996</v>
      </c>
      <c r="BM7" s="58">
        <v>0.56062500000000004</v>
      </c>
      <c r="BN7" s="58">
        <v>0.61968749999999995</v>
      </c>
      <c r="BO7" s="58">
        <v>0.54781250000000004</v>
      </c>
      <c r="BP7" s="60">
        <f t="shared" si="0"/>
        <v>0.65340909090909094</v>
      </c>
      <c r="BQ7" s="60">
        <f t="shared" si="1"/>
        <v>0.57692234848484836</v>
      </c>
      <c r="BR7" s="58"/>
      <c r="BS7" s="34"/>
    </row>
    <row r="8" spans="1:71" ht="30" customHeight="1" x14ac:dyDescent="0.3">
      <c r="A8" s="13" t="s">
        <v>673</v>
      </c>
      <c r="B8" s="58">
        <v>0.71909090909090911</v>
      </c>
      <c r="C8" s="58">
        <v>0.60272727272727278</v>
      </c>
      <c r="D8" s="58">
        <v>0.73545454545454547</v>
      </c>
      <c r="E8" s="58">
        <v>0.6427272727272727</v>
      </c>
      <c r="F8" s="58">
        <v>0.7018181818181819</v>
      </c>
      <c r="G8" s="58">
        <v>0.57090909090909092</v>
      </c>
      <c r="H8" s="58">
        <v>0.69</v>
      </c>
      <c r="I8" s="58">
        <v>0.5536363636363637</v>
      </c>
      <c r="J8" s="58">
        <v>0.70454545454545459</v>
      </c>
      <c r="K8" s="58">
        <v>0.60545454545454547</v>
      </c>
      <c r="L8" s="58">
        <v>0.70363636363636362</v>
      </c>
      <c r="M8" s="58">
        <v>0.59818181818181815</v>
      </c>
      <c r="N8" s="58">
        <v>0.7372727272727273</v>
      </c>
      <c r="O8" s="58">
        <v>0.62181818181818183</v>
      </c>
      <c r="P8" s="58">
        <v>0.72181818181818191</v>
      </c>
      <c r="Q8" s="58">
        <v>0.62181818181818183</v>
      </c>
      <c r="R8" s="58">
        <v>0.65454545454545454</v>
      </c>
      <c r="S8" s="58">
        <v>0.56272727272727274</v>
      </c>
      <c r="T8" s="58">
        <v>0.62090909090909097</v>
      </c>
      <c r="U8" s="58">
        <v>0.51454545454545453</v>
      </c>
      <c r="V8" s="58">
        <v>0.63909090909090904</v>
      </c>
      <c r="W8" s="58">
        <v>0.55181818181818176</v>
      </c>
      <c r="X8" s="58">
        <v>0.72909090909090901</v>
      </c>
      <c r="Y8" s="58">
        <v>0.60181818181818181</v>
      </c>
      <c r="Z8" s="58">
        <v>0.72818181818181815</v>
      </c>
      <c r="AA8" s="58">
        <v>0.62636363636363634</v>
      </c>
      <c r="AB8" s="58">
        <v>0.70818181818181813</v>
      </c>
      <c r="AC8" s="58">
        <v>0.59818181818181815</v>
      </c>
      <c r="AD8" s="58">
        <v>0.73909090909090902</v>
      </c>
      <c r="AE8" s="58">
        <v>0.61636363636363634</v>
      </c>
      <c r="AF8" s="58">
        <v>0.73909090909090902</v>
      </c>
      <c r="AG8" s="58">
        <v>0.6454545454545455</v>
      </c>
      <c r="AH8" s="58">
        <v>0.72363636363636363</v>
      </c>
      <c r="AI8" s="58">
        <v>0.59363636363636363</v>
      </c>
      <c r="AJ8" s="58">
        <v>0.68272727272727263</v>
      </c>
      <c r="AK8" s="58">
        <v>0.57999999999999996</v>
      </c>
      <c r="AL8" s="58">
        <v>0.6709090909090909</v>
      </c>
      <c r="AM8" s="58">
        <v>0.55727272727272725</v>
      </c>
      <c r="AN8" s="58">
        <v>0.71636363636363642</v>
      </c>
      <c r="AO8" s="58">
        <v>0.60272727272727278</v>
      </c>
      <c r="AP8" s="58">
        <v>0.72545454545454546</v>
      </c>
      <c r="AQ8" s="58">
        <v>0.61454545454545451</v>
      </c>
      <c r="AR8" s="58">
        <v>0.67</v>
      </c>
      <c r="AS8" s="58">
        <v>0.55545454545454542</v>
      </c>
      <c r="AT8" s="58">
        <v>0.71909090909090911</v>
      </c>
      <c r="AU8" s="58">
        <v>0.6045454545454545</v>
      </c>
      <c r="AV8" s="58">
        <v>0.68454545454545457</v>
      </c>
      <c r="AW8" s="58">
        <v>0.56454545454545457</v>
      </c>
      <c r="AX8" s="58">
        <v>0.71272727272727265</v>
      </c>
      <c r="AY8" s="58">
        <v>0.59454545454545449</v>
      </c>
      <c r="AZ8" s="58">
        <v>0.72636363636363643</v>
      </c>
      <c r="BA8" s="58">
        <v>0.63454545454545452</v>
      </c>
      <c r="BB8" s="58">
        <v>0.74454545454545451</v>
      </c>
      <c r="BC8" s="58">
        <v>0.63818181818181818</v>
      </c>
      <c r="BD8" s="58">
        <v>0.71636363636363642</v>
      </c>
      <c r="BE8" s="58">
        <v>0.54727272727272724</v>
      </c>
      <c r="BF8" s="58">
        <v>0.7372727272727273</v>
      </c>
      <c r="BG8" s="58">
        <v>0.63181818181818183</v>
      </c>
      <c r="BH8" s="58">
        <v>0.71</v>
      </c>
      <c r="BI8" s="58">
        <v>0.61545454545454548</v>
      </c>
      <c r="BJ8" s="58">
        <v>0.69090909090909092</v>
      </c>
      <c r="BK8" s="58">
        <v>0.58909090909090911</v>
      </c>
      <c r="BL8" s="58">
        <v>0.71818181818181814</v>
      </c>
      <c r="BM8" s="58">
        <v>0.58818181818181825</v>
      </c>
      <c r="BN8" s="58">
        <v>0.69</v>
      </c>
      <c r="BO8" s="58">
        <v>0.53454545454545455</v>
      </c>
      <c r="BP8" s="60">
        <f t="shared" si="0"/>
        <v>0.70639118457300276</v>
      </c>
      <c r="BQ8" s="60">
        <f t="shared" si="1"/>
        <v>0.59336088154269984</v>
      </c>
      <c r="BR8" s="58"/>
      <c r="BS8" s="34"/>
    </row>
    <row r="9" spans="1:71" ht="30" customHeight="1" x14ac:dyDescent="0.3">
      <c r="A9" s="13" t="s">
        <v>661</v>
      </c>
      <c r="B9" s="58">
        <v>0.38</v>
      </c>
      <c r="C9" s="58">
        <v>0.44428571428571428</v>
      </c>
      <c r="D9" s="58">
        <v>0.37857142857142861</v>
      </c>
      <c r="E9" s="58">
        <v>0.45</v>
      </c>
      <c r="F9" s="58">
        <v>0.38857142857142862</v>
      </c>
      <c r="G9" s="58">
        <v>0.45571428571428568</v>
      </c>
      <c r="H9" s="58">
        <v>0.38857142857142862</v>
      </c>
      <c r="I9" s="58">
        <v>0.44</v>
      </c>
      <c r="J9" s="58">
        <v>0.38428571428571429</v>
      </c>
      <c r="K9" s="58">
        <v>0.45</v>
      </c>
      <c r="L9" s="58">
        <v>0.39714285714285708</v>
      </c>
      <c r="M9" s="58">
        <v>0.47142857142857147</v>
      </c>
      <c r="N9" s="58">
        <v>0.38857142857142862</v>
      </c>
      <c r="O9" s="58">
        <v>0.42857142857142849</v>
      </c>
      <c r="P9" s="58">
        <v>0.37428571428571428</v>
      </c>
      <c r="Q9" s="58">
        <v>0.45142857142857151</v>
      </c>
      <c r="R9" s="58">
        <v>0.39571428571428569</v>
      </c>
      <c r="S9" s="58">
        <v>0.44571428571428567</v>
      </c>
      <c r="T9" s="58">
        <v>0.4157142857142857</v>
      </c>
      <c r="U9" s="58">
        <v>0.44</v>
      </c>
      <c r="V9" s="58">
        <v>0.41285714285714292</v>
      </c>
      <c r="W9" s="58">
        <v>0.44857142857142862</v>
      </c>
      <c r="X9" s="58">
        <v>0.38285714285714278</v>
      </c>
      <c r="Y9" s="58">
        <v>0.41714285714285709</v>
      </c>
      <c r="Z9" s="58">
        <v>0.37857142857142861</v>
      </c>
      <c r="AA9" s="58">
        <v>0.42</v>
      </c>
      <c r="AB9" s="58">
        <v>0.38285714285714278</v>
      </c>
      <c r="AC9" s="58">
        <v>0.44428571428571428</v>
      </c>
      <c r="AD9" s="58">
        <v>0.38857142857142862</v>
      </c>
      <c r="AE9" s="58">
        <v>0.45285714285714279</v>
      </c>
      <c r="AF9" s="58">
        <v>0.36571428571428571</v>
      </c>
      <c r="AG9" s="58">
        <v>0.40571428571428569</v>
      </c>
      <c r="AH9" s="58">
        <v>0.36142857142857138</v>
      </c>
      <c r="AI9" s="58">
        <v>0.42571428571428571</v>
      </c>
      <c r="AJ9" s="58">
        <v>0.39142857142857151</v>
      </c>
      <c r="AK9" s="58">
        <v>0.45714285714285707</v>
      </c>
      <c r="AL9" s="58">
        <v>0.40285714285714291</v>
      </c>
      <c r="AM9" s="58">
        <v>0.44</v>
      </c>
      <c r="AN9" s="58">
        <v>0.37</v>
      </c>
      <c r="AO9" s="58">
        <v>0.45142857142857151</v>
      </c>
      <c r="AP9" s="58">
        <v>0.36714285714285722</v>
      </c>
      <c r="AQ9" s="58">
        <v>0.45857142857142852</v>
      </c>
      <c r="AR9" s="58">
        <v>0.39857142857142852</v>
      </c>
      <c r="AS9" s="58">
        <v>0.46285714285714291</v>
      </c>
      <c r="AT9" s="58">
        <v>0.39428571428571429</v>
      </c>
      <c r="AU9" s="58">
        <v>0.46571428571428569</v>
      </c>
      <c r="AV9" s="58">
        <v>0.37571428571428572</v>
      </c>
      <c r="AW9" s="58">
        <v>0.43428571428571427</v>
      </c>
      <c r="AX9" s="58">
        <v>0.37857142857142861</v>
      </c>
      <c r="AY9" s="58">
        <v>0.43857142857142861</v>
      </c>
      <c r="AZ9" s="58">
        <v>0.36285714285714282</v>
      </c>
      <c r="BA9" s="58">
        <v>0.43428571428571427</v>
      </c>
      <c r="BB9" s="58">
        <v>0.38</v>
      </c>
      <c r="BC9" s="58">
        <v>0.43</v>
      </c>
      <c r="BD9" s="58">
        <v>0.38428571428571429</v>
      </c>
      <c r="BE9" s="58">
        <v>0.44</v>
      </c>
      <c r="BF9" s="58">
        <v>0.4042857142857143</v>
      </c>
      <c r="BG9" s="58">
        <v>0.47428571428571431</v>
      </c>
      <c r="BH9" s="58">
        <v>0.4</v>
      </c>
      <c r="BI9" s="58">
        <v>0.44428571428571428</v>
      </c>
      <c r="BJ9" s="58">
        <v>0.38285714285714278</v>
      </c>
      <c r="BK9" s="58">
        <v>0.47</v>
      </c>
      <c r="BL9" s="58">
        <v>0.38</v>
      </c>
      <c r="BM9" s="58">
        <v>0.48</v>
      </c>
      <c r="BN9" s="58">
        <v>0.37857142857142861</v>
      </c>
      <c r="BO9" s="58">
        <v>0.47</v>
      </c>
      <c r="BP9" s="60">
        <f t="shared" si="0"/>
        <v>0.38532467532467535</v>
      </c>
      <c r="BQ9" s="60">
        <f t="shared" si="1"/>
        <v>0.44675324675324679</v>
      </c>
      <c r="BR9" s="58"/>
      <c r="BS9" s="34"/>
    </row>
    <row r="10" spans="1:71" ht="30" customHeight="1" x14ac:dyDescent="0.3">
      <c r="A10" s="13" t="s">
        <v>674</v>
      </c>
      <c r="B10" s="58">
        <v>0.69499999999999995</v>
      </c>
      <c r="C10" s="58">
        <v>0.62333333333333341</v>
      </c>
      <c r="D10" s="58">
        <v>0.73333333333333328</v>
      </c>
      <c r="E10" s="58">
        <v>0.65333333333333332</v>
      </c>
      <c r="F10" s="58">
        <v>0.72583333333333333</v>
      </c>
      <c r="G10" s="58">
        <v>0.59499999999999997</v>
      </c>
      <c r="H10" s="58">
        <v>0.70499999999999996</v>
      </c>
      <c r="I10" s="58">
        <v>0.58499999999999996</v>
      </c>
      <c r="J10" s="58">
        <v>0.71416666666666673</v>
      </c>
      <c r="K10" s="58">
        <v>0.62583333333333335</v>
      </c>
      <c r="L10" s="58">
        <v>0.72583333333333333</v>
      </c>
      <c r="M10" s="58">
        <v>0.62833333333333341</v>
      </c>
      <c r="N10" s="58">
        <v>0.71</v>
      </c>
      <c r="O10" s="58">
        <v>0.60666666666666669</v>
      </c>
      <c r="P10" s="58">
        <v>0.71583333333333332</v>
      </c>
      <c r="Q10" s="58">
        <v>0.61499999999999999</v>
      </c>
      <c r="R10" s="58">
        <v>0.69333333333333325</v>
      </c>
      <c r="S10" s="58">
        <v>0.61</v>
      </c>
      <c r="T10" s="58">
        <v>0.6825</v>
      </c>
      <c r="U10" s="58">
        <v>0.55666666666666664</v>
      </c>
      <c r="V10" s="58">
        <v>0.71583333333333332</v>
      </c>
      <c r="W10" s="58">
        <v>0.61250000000000004</v>
      </c>
      <c r="X10" s="58">
        <v>0.71</v>
      </c>
      <c r="Y10" s="58">
        <v>0.59250000000000003</v>
      </c>
      <c r="Z10" s="58">
        <v>0.71333333333333326</v>
      </c>
      <c r="AA10" s="58">
        <v>0.64666666666666672</v>
      </c>
      <c r="AB10" s="58">
        <v>0.72166666666666668</v>
      </c>
      <c r="AC10" s="58">
        <v>0.60833333333333339</v>
      </c>
      <c r="AD10" s="58">
        <v>0.71333333333333326</v>
      </c>
      <c r="AE10" s="58">
        <v>0.58916666666666662</v>
      </c>
      <c r="AF10" s="58">
        <v>0.71250000000000002</v>
      </c>
      <c r="AG10" s="58">
        <v>0.63916666666666666</v>
      </c>
      <c r="AH10" s="58">
        <v>0.70583333333333331</v>
      </c>
      <c r="AI10" s="58">
        <v>0.57833333333333337</v>
      </c>
      <c r="AJ10" s="58">
        <v>0.6958333333333333</v>
      </c>
      <c r="AK10" s="58">
        <v>0.59416666666666662</v>
      </c>
      <c r="AL10" s="58">
        <v>0.72250000000000003</v>
      </c>
      <c r="AM10" s="58">
        <v>0.57999999999999996</v>
      </c>
      <c r="AN10" s="58">
        <v>0.72666666666666668</v>
      </c>
      <c r="AO10" s="58">
        <v>0.6166666666666667</v>
      </c>
      <c r="AP10" s="58">
        <v>0.71083333333333332</v>
      </c>
      <c r="AQ10" s="58">
        <v>0.62083333333333335</v>
      </c>
      <c r="AR10" s="58">
        <v>0.73250000000000004</v>
      </c>
      <c r="AS10" s="58">
        <v>0.60499999999999998</v>
      </c>
      <c r="AT10" s="58">
        <v>0.72499999999999998</v>
      </c>
      <c r="AU10" s="58">
        <v>0.63249999999999995</v>
      </c>
      <c r="AV10" s="58">
        <v>0.72666666666666668</v>
      </c>
      <c r="AW10" s="58">
        <v>0.60583333333333333</v>
      </c>
      <c r="AX10" s="58">
        <v>0.71416666666666673</v>
      </c>
      <c r="AY10" s="58">
        <v>0.62833333333333341</v>
      </c>
      <c r="AZ10" s="58">
        <v>0.70083333333333331</v>
      </c>
      <c r="BA10" s="58">
        <v>0.62083333333333335</v>
      </c>
      <c r="BB10" s="58">
        <v>0.72750000000000004</v>
      </c>
      <c r="BC10" s="58">
        <v>0.62083333333333335</v>
      </c>
      <c r="BD10" s="58">
        <v>0.70583333333333331</v>
      </c>
      <c r="BE10" s="58">
        <v>0.58583333333333332</v>
      </c>
      <c r="BF10" s="58">
        <v>0.72250000000000003</v>
      </c>
      <c r="BG10" s="58">
        <v>0.66166666666666674</v>
      </c>
      <c r="BH10" s="58">
        <v>0.70583333333333331</v>
      </c>
      <c r="BI10" s="58">
        <v>0.63916666666666666</v>
      </c>
      <c r="BJ10" s="58">
        <v>0.71250000000000002</v>
      </c>
      <c r="BK10" s="58">
        <v>0.61916666666666664</v>
      </c>
      <c r="BL10" s="58">
        <v>0.70083333333333331</v>
      </c>
      <c r="BM10" s="58">
        <v>0.6</v>
      </c>
      <c r="BN10" s="58">
        <v>0.72916666666666674</v>
      </c>
      <c r="BO10" s="58">
        <v>0.59250000000000003</v>
      </c>
      <c r="BP10" s="60">
        <f t="shared" si="0"/>
        <v>0.71371212121212113</v>
      </c>
      <c r="BQ10" s="60">
        <f t="shared" si="1"/>
        <v>0.6117929292929295</v>
      </c>
      <c r="BR10" s="58"/>
      <c r="BS10" s="34"/>
    </row>
    <row r="11" spans="1:71" ht="30" customHeight="1" x14ac:dyDescent="0.3">
      <c r="A11" s="13" t="s">
        <v>675</v>
      </c>
      <c r="B11" s="58">
        <v>0.83714285714285708</v>
      </c>
      <c r="C11" s="58">
        <v>0.70428571428571429</v>
      </c>
      <c r="D11" s="58">
        <v>0.87</v>
      </c>
      <c r="E11" s="58">
        <v>0.73857142857142866</v>
      </c>
      <c r="F11" s="58">
        <v>0.85142857142857142</v>
      </c>
      <c r="G11" s="58">
        <v>0.65714285714285703</v>
      </c>
      <c r="H11" s="58">
        <v>0.83285714285714296</v>
      </c>
      <c r="I11" s="58">
        <v>0.66428571428571426</v>
      </c>
      <c r="J11" s="58">
        <v>0.8342857142857143</v>
      </c>
      <c r="K11" s="58">
        <v>0.71714285714285708</v>
      </c>
      <c r="L11" s="58">
        <v>0.83285714285714296</v>
      </c>
      <c r="M11" s="58">
        <v>0.70857142857142863</v>
      </c>
      <c r="N11" s="58">
        <v>0.85428571428571431</v>
      </c>
      <c r="O11" s="58">
        <v>0.72857142857142865</v>
      </c>
      <c r="P11" s="58">
        <v>0.84285714285714297</v>
      </c>
      <c r="Q11" s="58">
        <v>0.69142857142857139</v>
      </c>
      <c r="R11" s="58">
        <v>0.80857142857142861</v>
      </c>
      <c r="S11" s="58">
        <v>0.68571428571428572</v>
      </c>
      <c r="T11" s="58">
        <v>0.77285714285714291</v>
      </c>
      <c r="U11" s="58">
        <v>0.61571428571428566</v>
      </c>
      <c r="V11" s="58">
        <v>0.84142857142857141</v>
      </c>
      <c r="W11" s="58">
        <v>0.68285714285714294</v>
      </c>
      <c r="X11" s="58">
        <v>0.83285714285714296</v>
      </c>
      <c r="Y11" s="58">
        <v>0.66142857142857137</v>
      </c>
      <c r="Z11" s="58">
        <v>0.8342857142857143</v>
      </c>
      <c r="AA11" s="58">
        <v>0.7371428571428571</v>
      </c>
      <c r="AB11" s="58">
        <v>0.82571428571428573</v>
      </c>
      <c r="AC11" s="58">
        <v>0.67142857142857137</v>
      </c>
      <c r="AD11" s="58">
        <v>0.83857142857142863</v>
      </c>
      <c r="AE11" s="58">
        <v>0.65857142857142859</v>
      </c>
      <c r="AF11" s="58">
        <v>0.83857142857142863</v>
      </c>
      <c r="AG11" s="58">
        <v>0.72428571428571431</v>
      </c>
      <c r="AH11" s="58">
        <v>0.86142857142857143</v>
      </c>
      <c r="AI11" s="58">
        <v>0.66285714285714292</v>
      </c>
      <c r="AJ11" s="58">
        <v>0.8342857142857143</v>
      </c>
      <c r="AK11" s="58">
        <v>0.65857142857142859</v>
      </c>
      <c r="AL11" s="58">
        <v>0.80285714285714294</v>
      </c>
      <c r="AM11" s="58">
        <v>0.63714285714285712</v>
      </c>
      <c r="AN11" s="58">
        <v>0.84428571428571431</v>
      </c>
      <c r="AO11" s="58">
        <v>0.6785714285714286</v>
      </c>
      <c r="AP11" s="58">
        <v>0.8571428571428571</v>
      </c>
      <c r="AQ11" s="58">
        <v>0.69285714285714295</v>
      </c>
      <c r="AR11" s="58">
        <v>0.84857142857142864</v>
      </c>
      <c r="AS11" s="58">
        <v>0.65571428571428569</v>
      </c>
      <c r="AT11" s="58">
        <v>0.87142857142857144</v>
      </c>
      <c r="AU11" s="58">
        <v>0.71857142857142864</v>
      </c>
      <c r="AV11" s="58">
        <v>0.8342857142857143</v>
      </c>
      <c r="AW11" s="58">
        <v>0.67142857142857137</v>
      </c>
      <c r="AX11" s="58">
        <v>0.83285714285714296</v>
      </c>
      <c r="AY11" s="58">
        <v>0.7014285714285714</v>
      </c>
      <c r="AZ11" s="58">
        <v>0.83857142857142863</v>
      </c>
      <c r="BA11" s="58">
        <v>0.72</v>
      </c>
      <c r="BB11" s="58">
        <v>0.85428571428571431</v>
      </c>
      <c r="BC11" s="58">
        <v>0.70714285714285707</v>
      </c>
      <c r="BD11" s="58">
        <v>0.82285714285714295</v>
      </c>
      <c r="BE11" s="58">
        <v>0.64571428571428569</v>
      </c>
      <c r="BF11" s="58">
        <v>0.85571428571428565</v>
      </c>
      <c r="BG11" s="58">
        <v>0.74142857142857144</v>
      </c>
      <c r="BH11" s="58">
        <v>0.83</v>
      </c>
      <c r="BI11" s="58">
        <v>0.72428571428571431</v>
      </c>
      <c r="BJ11" s="58">
        <v>0.84142857142857141</v>
      </c>
      <c r="BK11" s="58">
        <v>0.7</v>
      </c>
      <c r="BL11" s="58">
        <v>0.81428571428571428</v>
      </c>
      <c r="BM11" s="58">
        <v>0.6785714285714286</v>
      </c>
      <c r="BN11" s="58">
        <v>0.85857142857142865</v>
      </c>
      <c r="BO11" s="58">
        <v>0.63714285714285712</v>
      </c>
      <c r="BP11" s="60">
        <f t="shared" si="0"/>
        <v>0.83792207792207796</v>
      </c>
      <c r="BQ11" s="60">
        <f t="shared" si="1"/>
        <v>0.68722943722943708</v>
      </c>
      <c r="BR11" s="58"/>
      <c r="BS11" s="34"/>
    </row>
    <row r="12" spans="1:71" ht="30" customHeight="1" x14ac:dyDescent="0.3">
      <c r="A12" s="13" t="s">
        <v>676</v>
      </c>
      <c r="B12" s="58">
        <v>0.64500000000000002</v>
      </c>
      <c r="C12" s="58">
        <v>0.57444444444444442</v>
      </c>
      <c r="D12" s="58">
        <v>0.61444444444444446</v>
      </c>
      <c r="E12" s="58">
        <v>0.59333333333333338</v>
      </c>
      <c r="F12" s="58">
        <v>0.61499999999999999</v>
      </c>
      <c r="G12" s="58">
        <v>0.55333333333333334</v>
      </c>
      <c r="H12" s="58">
        <v>0.63777777777777778</v>
      </c>
      <c r="I12" s="58">
        <v>0.54888888888888887</v>
      </c>
      <c r="J12" s="58">
        <v>0.61611111111111116</v>
      </c>
      <c r="K12" s="58">
        <v>0.57111111111111112</v>
      </c>
      <c r="L12" s="58">
        <v>0.6511111111111112</v>
      </c>
      <c r="M12" s="58">
        <v>0.60055555555555562</v>
      </c>
      <c r="N12" s="58">
        <v>0.61388888888888882</v>
      </c>
      <c r="O12" s="58">
        <v>0.58666666666666667</v>
      </c>
      <c r="P12" s="58">
        <v>0.62055555555555553</v>
      </c>
      <c r="Q12" s="58">
        <v>0.57777777777777783</v>
      </c>
      <c r="R12" s="58">
        <v>0.59388888888888891</v>
      </c>
      <c r="S12" s="58">
        <v>0.56888888888888889</v>
      </c>
      <c r="T12" s="58">
        <v>0.62444444444444447</v>
      </c>
      <c r="U12" s="58">
        <v>0.54055555555555557</v>
      </c>
      <c r="V12" s="58">
        <v>0.64222222222222225</v>
      </c>
      <c r="W12" s="58">
        <v>0.59722222222222221</v>
      </c>
      <c r="X12" s="58">
        <v>0.60944444444444446</v>
      </c>
      <c r="Y12" s="58">
        <v>0.56277777777777782</v>
      </c>
      <c r="Z12" s="58">
        <v>0.66388888888888886</v>
      </c>
      <c r="AA12" s="58">
        <v>0.59277777777777774</v>
      </c>
      <c r="AB12" s="58">
        <v>0.62666666666666659</v>
      </c>
      <c r="AC12" s="58">
        <v>0.56222222222222218</v>
      </c>
      <c r="AD12" s="58">
        <v>0.63944444444444448</v>
      </c>
      <c r="AE12" s="58">
        <v>0.57388888888888889</v>
      </c>
      <c r="AF12" s="58">
        <v>0.62333333333333341</v>
      </c>
      <c r="AG12" s="58">
        <v>0.56555555555555559</v>
      </c>
      <c r="AH12" s="58">
        <v>0.64722222222222225</v>
      </c>
      <c r="AI12" s="58">
        <v>0.56999999999999995</v>
      </c>
      <c r="AJ12" s="58">
        <v>0.64166666666666672</v>
      </c>
      <c r="AK12" s="58">
        <v>0.54166666666666663</v>
      </c>
      <c r="AL12" s="58">
        <v>0.6366666666666666</v>
      </c>
      <c r="AM12" s="58">
        <v>0.55833333333333335</v>
      </c>
      <c r="AN12" s="58">
        <v>0.62166666666666659</v>
      </c>
      <c r="AO12" s="58">
        <v>0.55500000000000005</v>
      </c>
      <c r="AP12" s="58">
        <v>0.63222222222222224</v>
      </c>
      <c r="AQ12" s="58">
        <v>0.57777777777777783</v>
      </c>
      <c r="AR12" s="58">
        <v>0.66222222222222227</v>
      </c>
      <c r="AS12" s="58">
        <v>0.60499999999999998</v>
      </c>
      <c r="AT12" s="58">
        <v>0.63833333333333331</v>
      </c>
      <c r="AU12" s="58">
        <v>0.59444444444444444</v>
      </c>
      <c r="AV12" s="58">
        <v>0.62277777777777776</v>
      </c>
      <c r="AW12" s="58">
        <v>0.57166666666666666</v>
      </c>
      <c r="AX12" s="58">
        <v>0.61888888888888882</v>
      </c>
      <c r="AY12" s="58">
        <v>0.56777777777777783</v>
      </c>
      <c r="AZ12" s="58">
        <v>0.61444444444444446</v>
      </c>
      <c r="BA12" s="58">
        <v>0.58111111111111113</v>
      </c>
      <c r="BB12" s="58">
        <v>0.6333333333333333</v>
      </c>
      <c r="BC12" s="58">
        <v>0.59222222222222221</v>
      </c>
      <c r="BD12" s="58">
        <v>0.63611111111111118</v>
      </c>
      <c r="BE12" s="58">
        <v>0.58111111111111113</v>
      </c>
      <c r="BF12" s="58">
        <v>0.64333333333333331</v>
      </c>
      <c r="BG12" s="58">
        <v>0.59555555555555562</v>
      </c>
      <c r="BH12" s="58">
        <v>0.62722222222222224</v>
      </c>
      <c r="BI12" s="58">
        <v>0.56999999999999995</v>
      </c>
      <c r="BJ12" s="58">
        <v>0.65611111111111109</v>
      </c>
      <c r="BK12" s="58">
        <v>0.60722222222222222</v>
      </c>
      <c r="BL12" s="58">
        <v>0.65722222222222226</v>
      </c>
      <c r="BM12" s="58">
        <v>0.56166666666666665</v>
      </c>
      <c r="BN12" s="58">
        <v>0.64222222222222225</v>
      </c>
      <c r="BO12" s="58">
        <v>0.57111111111111112</v>
      </c>
      <c r="BP12" s="60">
        <f t="shared" si="0"/>
        <v>0.63239057239057261</v>
      </c>
      <c r="BQ12" s="60">
        <f t="shared" si="1"/>
        <v>0.57489898989898991</v>
      </c>
      <c r="BR12" s="58"/>
      <c r="BS12" s="34"/>
    </row>
    <row r="13" spans="1:71" ht="30" customHeight="1" x14ac:dyDescent="0.3">
      <c r="A13" s="13" t="s">
        <v>908</v>
      </c>
      <c r="B13" s="58">
        <v>0.7</v>
      </c>
      <c r="C13" s="58">
        <v>0.58399999999999996</v>
      </c>
      <c r="D13" s="58">
        <v>0.70799999999999996</v>
      </c>
      <c r="E13" s="58">
        <v>0.65599999999999992</v>
      </c>
      <c r="F13" s="58">
        <v>0.65599999999999992</v>
      </c>
      <c r="G13" s="58">
        <v>0.55399999999999994</v>
      </c>
      <c r="H13" s="58">
        <v>0.63800000000000001</v>
      </c>
      <c r="I13" s="58">
        <v>0.52200000000000002</v>
      </c>
      <c r="J13" s="58">
        <v>0.63</v>
      </c>
      <c r="K13" s="58">
        <v>0.58200000000000007</v>
      </c>
      <c r="L13" s="58">
        <v>0.71</v>
      </c>
      <c r="M13" s="58">
        <v>0.60799999999999998</v>
      </c>
      <c r="N13" s="58">
        <v>0.69400000000000006</v>
      </c>
      <c r="O13" s="58">
        <v>0.58200000000000007</v>
      </c>
      <c r="P13" s="58">
        <v>0.67</v>
      </c>
      <c r="Q13" s="58">
        <v>0.58799999999999997</v>
      </c>
      <c r="R13" s="58">
        <v>0.60399999999999998</v>
      </c>
      <c r="S13" s="58">
        <v>0.56000000000000005</v>
      </c>
      <c r="T13" s="58">
        <v>0.61399999999999999</v>
      </c>
      <c r="U13" s="58">
        <v>0.50800000000000001</v>
      </c>
      <c r="V13" s="58">
        <v>0.62</v>
      </c>
      <c r="W13" s="58">
        <v>0.56399999999999995</v>
      </c>
      <c r="X13" s="58">
        <v>0.63</v>
      </c>
      <c r="Y13" s="58">
        <v>0.53</v>
      </c>
      <c r="Z13" s="58">
        <v>0.69599999999999995</v>
      </c>
      <c r="AA13" s="58">
        <v>0.6</v>
      </c>
      <c r="AB13" s="58">
        <v>0.66200000000000003</v>
      </c>
      <c r="AC13" s="58">
        <v>0.56399999999999995</v>
      </c>
      <c r="AD13" s="58">
        <v>0.66599999999999993</v>
      </c>
      <c r="AE13" s="58">
        <v>0.57399999999999995</v>
      </c>
      <c r="AF13" s="58">
        <v>0.7</v>
      </c>
      <c r="AG13" s="58">
        <v>0.59200000000000008</v>
      </c>
      <c r="AH13" s="58">
        <v>0.69599999999999995</v>
      </c>
      <c r="AI13" s="58">
        <v>0.56399999999999995</v>
      </c>
      <c r="AJ13" s="58">
        <v>0.64800000000000002</v>
      </c>
      <c r="AK13" s="58">
        <v>0.55399999999999994</v>
      </c>
      <c r="AL13" s="58">
        <v>0.63800000000000001</v>
      </c>
      <c r="AM13" s="58">
        <v>0.55399999999999994</v>
      </c>
      <c r="AN13" s="58">
        <v>0.67200000000000004</v>
      </c>
      <c r="AO13" s="58">
        <v>0.56999999999999995</v>
      </c>
      <c r="AP13" s="58">
        <v>0.65</v>
      </c>
      <c r="AQ13" s="58">
        <v>0.58799999999999997</v>
      </c>
      <c r="AR13" s="58">
        <v>0.65799999999999992</v>
      </c>
      <c r="AS13" s="58">
        <v>0.56600000000000006</v>
      </c>
      <c r="AT13" s="58">
        <v>0.69599999999999995</v>
      </c>
      <c r="AU13" s="58">
        <v>0.61799999999999999</v>
      </c>
      <c r="AV13" s="58">
        <v>0.65</v>
      </c>
      <c r="AW13" s="58">
        <v>0.56000000000000005</v>
      </c>
      <c r="AX13" s="58">
        <v>0.64599999999999991</v>
      </c>
      <c r="AY13" s="58">
        <v>0.55799999999999994</v>
      </c>
      <c r="AZ13" s="58">
        <v>0.63200000000000001</v>
      </c>
      <c r="BA13" s="58">
        <v>0.59200000000000008</v>
      </c>
      <c r="BB13" s="58">
        <v>0.71799999999999997</v>
      </c>
      <c r="BC13" s="58">
        <v>0.60599999999999998</v>
      </c>
      <c r="BD13" s="58">
        <v>0.67400000000000004</v>
      </c>
      <c r="BE13" s="58">
        <v>0.54799999999999993</v>
      </c>
      <c r="BF13" s="58">
        <v>0.69200000000000006</v>
      </c>
      <c r="BG13" s="58">
        <v>0.61199999999999999</v>
      </c>
      <c r="BH13" s="58">
        <v>0.67200000000000004</v>
      </c>
      <c r="BI13" s="58">
        <v>0.61199999999999999</v>
      </c>
      <c r="BJ13" s="58">
        <v>0.63800000000000001</v>
      </c>
      <c r="BK13" s="58">
        <v>0.57799999999999996</v>
      </c>
      <c r="BL13" s="58">
        <v>0.68</v>
      </c>
      <c r="BM13" s="58">
        <v>0.58399999999999996</v>
      </c>
      <c r="BN13" s="58">
        <v>0.69200000000000006</v>
      </c>
      <c r="BO13" s="58">
        <v>0.52400000000000002</v>
      </c>
      <c r="BP13" s="60">
        <f t="shared" ref="BP13" si="2">IFERROR(AVERAGE(B13,D13,F13,H13,J13,L13,N13,P13,R13,T13,V13,X13,Z13,AB13,AD13,AF13,AH13,AJ13,AL13,AN13,AP13,AR13,AT13,AV13,AX13,AZ13,BB13,BD13,BF13,BH13,BJ13,BL13,BN13),0)</f>
        <v>0.66515151515151527</v>
      </c>
      <c r="BQ13" s="60">
        <f t="shared" ref="BQ13" si="3">IFERROR(AVERAGE(C13,E13,G13,I13,K13,M13,O13,Q13,S13,U13,W13,Y13,AA13,AC13,AE13,AG13,AI13,AK13,AM13,AO13,AQ13,AS13,AU13,AW13,AY13,BA13,BC13,BE13,BG13,BI13,BK13,BM13,BO13),0)</f>
        <v>0.57442424242424239</v>
      </c>
      <c r="BR13" s="58"/>
      <c r="BS13" s="34"/>
    </row>
    <row r="14" spans="1:71" ht="30" customHeight="1" x14ac:dyDescent="0.3">
      <c r="A14" s="13" t="s">
        <v>677</v>
      </c>
      <c r="B14" s="58">
        <v>0.70599999999999996</v>
      </c>
      <c r="C14" s="58">
        <v>0.69400000000000006</v>
      </c>
      <c r="D14" s="58">
        <v>0.70799999999999996</v>
      </c>
      <c r="E14" s="58">
        <v>0.73</v>
      </c>
      <c r="F14" s="58">
        <v>0.68200000000000005</v>
      </c>
      <c r="G14" s="58">
        <v>0.63600000000000001</v>
      </c>
      <c r="H14" s="58">
        <v>0.75</v>
      </c>
      <c r="I14" s="58">
        <v>0.63600000000000001</v>
      </c>
      <c r="J14" s="58">
        <v>0.79599999999999993</v>
      </c>
      <c r="K14" s="58">
        <v>0.71799999999999997</v>
      </c>
      <c r="L14" s="58">
        <v>0.67</v>
      </c>
      <c r="M14" s="58">
        <v>0.69799999999999995</v>
      </c>
      <c r="N14" s="58">
        <v>0.78599999999999992</v>
      </c>
      <c r="O14" s="58">
        <v>0.69400000000000006</v>
      </c>
      <c r="P14" s="58">
        <v>0.77400000000000002</v>
      </c>
      <c r="Q14" s="58">
        <v>0.65799999999999992</v>
      </c>
      <c r="R14" s="58">
        <v>0.77400000000000002</v>
      </c>
      <c r="S14" s="58">
        <v>0.68</v>
      </c>
      <c r="T14" s="58">
        <v>0.69400000000000006</v>
      </c>
      <c r="U14" s="58">
        <v>0.60399999999999998</v>
      </c>
      <c r="V14" s="58">
        <v>0.83</v>
      </c>
      <c r="W14" s="58">
        <v>0.68599999999999994</v>
      </c>
      <c r="X14" s="58">
        <v>0.70200000000000007</v>
      </c>
      <c r="Y14" s="58">
        <v>0.58599999999999997</v>
      </c>
      <c r="Z14" s="58">
        <v>0.65</v>
      </c>
      <c r="AA14" s="58">
        <v>0.69200000000000006</v>
      </c>
      <c r="AB14" s="58">
        <v>0.77599999999999991</v>
      </c>
      <c r="AC14" s="58">
        <v>0.70200000000000007</v>
      </c>
      <c r="AD14" s="58">
        <v>0.66</v>
      </c>
      <c r="AE14" s="58">
        <v>0.65200000000000002</v>
      </c>
      <c r="AF14" s="58">
        <v>0.77599999999999991</v>
      </c>
      <c r="AG14" s="58">
        <v>0.65599999999999992</v>
      </c>
      <c r="AH14" s="58">
        <v>0.58599999999999997</v>
      </c>
      <c r="AI14" s="58">
        <v>0.628</v>
      </c>
      <c r="AJ14" s="58">
        <v>0.72599999999999998</v>
      </c>
      <c r="AK14" s="58">
        <v>0.66200000000000003</v>
      </c>
      <c r="AL14" s="58">
        <v>0.75599999999999989</v>
      </c>
      <c r="AM14" s="58">
        <v>0.64200000000000002</v>
      </c>
      <c r="AN14" s="58">
        <v>0.71400000000000008</v>
      </c>
      <c r="AO14" s="58">
        <v>0.66799999999999993</v>
      </c>
      <c r="AP14" s="58">
        <v>0.81799999999999995</v>
      </c>
      <c r="AQ14" s="58">
        <v>0.66799999999999993</v>
      </c>
      <c r="AR14" s="58">
        <v>0.79799999999999993</v>
      </c>
      <c r="AS14" s="58">
        <v>0.67400000000000004</v>
      </c>
      <c r="AT14" s="58">
        <v>0.71799999999999997</v>
      </c>
      <c r="AU14" s="58">
        <v>0.68400000000000005</v>
      </c>
      <c r="AV14" s="58">
        <v>0.68400000000000005</v>
      </c>
      <c r="AW14" s="58">
        <v>0.64200000000000002</v>
      </c>
      <c r="AX14" s="58">
        <v>0.74</v>
      </c>
      <c r="AY14" s="58">
        <v>0.71400000000000008</v>
      </c>
      <c r="AZ14" s="58">
        <v>0.79400000000000004</v>
      </c>
      <c r="BA14" s="58">
        <v>0.70799999999999996</v>
      </c>
      <c r="BB14" s="58">
        <v>0.79599999999999993</v>
      </c>
      <c r="BC14" s="58">
        <v>0.72</v>
      </c>
      <c r="BD14" s="58">
        <v>0.78</v>
      </c>
      <c r="BE14" s="58">
        <v>0.63800000000000001</v>
      </c>
      <c r="BF14" s="58">
        <v>0.64599999999999991</v>
      </c>
      <c r="BG14" s="58">
        <v>0.73199999999999998</v>
      </c>
      <c r="BH14" s="58">
        <v>0.79</v>
      </c>
      <c r="BI14" s="58">
        <v>0.68400000000000005</v>
      </c>
      <c r="BJ14" s="58">
        <v>0.7340000000000001</v>
      </c>
      <c r="BK14" s="58">
        <v>0.68400000000000005</v>
      </c>
      <c r="BL14" s="58">
        <v>0.53</v>
      </c>
      <c r="BM14" s="58">
        <v>0.65</v>
      </c>
      <c r="BN14" s="58">
        <v>0.73</v>
      </c>
      <c r="BO14" s="58">
        <v>0.64</v>
      </c>
      <c r="BP14" s="60">
        <f t="shared" si="0"/>
        <v>0.72951515151515156</v>
      </c>
      <c r="BQ14" s="60">
        <f t="shared" si="1"/>
        <v>0.6715151515151514</v>
      </c>
      <c r="BR14" s="58"/>
      <c r="BS14" s="34"/>
    </row>
  </sheetData>
  <mergeCells count="40">
    <mergeCell ref="A1:BS1"/>
    <mergeCell ref="A2:BS2"/>
    <mergeCell ref="A3:A4"/>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P3:BP4"/>
    <mergeCell ref="BQ3:BQ4"/>
    <mergeCell ref="BR3:BR4"/>
    <mergeCell ref="BS3:BS4"/>
    <mergeCell ref="BF3:BG3"/>
    <mergeCell ref="BH3:BI3"/>
    <mergeCell ref="BJ3:BK3"/>
    <mergeCell ref="BL3:BM3"/>
    <mergeCell ref="BN3:BO3"/>
  </mergeCells>
  <conditionalFormatting sqref="C5:C14">
    <cfRule type="cellIs" dxfId="43" priority="1" operator="greaterThan">
      <formula>B5</formula>
    </cfRule>
  </conditionalFormatting>
  <conditionalFormatting sqref="E5:E14">
    <cfRule type="cellIs" dxfId="42" priority="2" operator="greaterThan">
      <formula>D5</formula>
    </cfRule>
  </conditionalFormatting>
  <conditionalFormatting sqref="G5:G14">
    <cfRule type="cellIs" dxfId="41" priority="3" operator="greaterThan">
      <formula>F5</formula>
    </cfRule>
  </conditionalFormatting>
  <conditionalFormatting sqref="I5:I14">
    <cfRule type="cellIs" dxfId="40" priority="4" operator="greaterThan">
      <formula>H5</formula>
    </cfRule>
  </conditionalFormatting>
  <conditionalFormatting sqref="K5:K14">
    <cfRule type="cellIs" dxfId="39" priority="5" operator="greaterThan">
      <formula>J5</formula>
    </cfRule>
  </conditionalFormatting>
  <conditionalFormatting sqref="M5:M14">
    <cfRule type="cellIs" dxfId="38" priority="6" operator="greaterThan">
      <formula>L5</formula>
    </cfRule>
  </conditionalFormatting>
  <conditionalFormatting sqref="O5:O14">
    <cfRule type="cellIs" dxfId="37" priority="7" operator="greaterThan">
      <formula>N5</formula>
    </cfRule>
  </conditionalFormatting>
  <conditionalFormatting sqref="Q5:Q14">
    <cfRule type="cellIs" dxfId="36" priority="8" operator="greaterThan">
      <formula>P5</formula>
    </cfRule>
  </conditionalFormatting>
  <conditionalFormatting sqref="S5:S14">
    <cfRule type="cellIs" dxfId="35" priority="9" operator="greaterThan">
      <formula>R5</formula>
    </cfRule>
  </conditionalFormatting>
  <conditionalFormatting sqref="U5:U14">
    <cfRule type="cellIs" dxfId="34" priority="10" operator="greaterThan">
      <formula>T5</formula>
    </cfRule>
  </conditionalFormatting>
  <conditionalFormatting sqref="W5:W14">
    <cfRule type="cellIs" dxfId="33" priority="11" operator="greaterThan">
      <formula>V5</formula>
    </cfRule>
  </conditionalFormatting>
  <conditionalFormatting sqref="Y5:Y14">
    <cfRule type="cellIs" dxfId="32" priority="12" operator="greaterThan">
      <formula>X5</formula>
    </cfRule>
  </conditionalFormatting>
  <conditionalFormatting sqref="AA5:AA14">
    <cfRule type="cellIs" dxfId="31" priority="13" operator="greaterThan">
      <formula>Z5</formula>
    </cfRule>
  </conditionalFormatting>
  <conditionalFormatting sqref="AC5:AC14">
    <cfRule type="cellIs" dxfId="30" priority="14" operator="greaterThan">
      <formula>AB5</formula>
    </cfRule>
  </conditionalFormatting>
  <conditionalFormatting sqref="AE5:AE14">
    <cfRule type="cellIs" dxfId="29" priority="15" operator="greaterThan">
      <formula>AD5</formula>
    </cfRule>
  </conditionalFormatting>
  <conditionalFormatting sqref="AG5:AG14">
    <cfRule type="cellIs" dxfId="28" priority="16" operator="greaterThan">
      <formula>AF5</formula>
    </cfRule>
  </conditionalFormatting>
  <conditionalFormatting sqref="AI5:AI14">
    <cfRule type="cellIs" dxfId="27" priority="17" operator="greaterThan">
      <formula>AH5</formula>
    </cfRule>
  </conditionalFormatting>
  <conditionalFormatting sqref="AK5:AK14">
    <cfRule type="cellIs" dxfId="26" priority="18" operator="greaterThan">
      <formula>AJ5</formula>
    </cfRule>
  </conditionalFormatting>
  <conditionalFormatting sqref="AM5:AM14">
    <cfRule type="cellIs" dxfId="25" priority="19" operator="greaterThan">
      <formula>AL5</formula>
    </cfRule>
  </conditionalFormatting>
  <conditionalFormatting sqref="AO5:AO14">
    <cfRule type="cellIs" dxfId="24" priority="20" operator="greaterThan">
      <formula>AN5</formula>
    </cfRule>
  </conditionalFormatting>
  <conditionalFormatting sqref="AQ5:AQ14">
    <cfRule type="cellIs" dxfId="23" priority="21" operator="greaterThan">
      <formula>AP5</formula>
    </cfRule>
  </conditionalFormatting>
  <conditionalFormatting sqref="AS5:AS14">
    <cfRule type="cellIs" dxfId="22" priority="22" operator="greaterThan">
      <formula>AR5</formula>
    </cfRule>
  </conditionalFormatting>
  <conditionalFormatting sqref="AU5:AU14">
    <cfRule type="cellIs" dxfId="21" priority="23" operator="greaterThan">
      <formula>AT5</formula>
    </cfRule>
  </conditionalFormatting>
  <conditionalFormatting sqref="AW5:AW14">
    <cfRule type="cellIs" dxfId="20" priority="24" operator="greaterThan">
      <formula>AV5</formula>
    </cfRule>
  </conditionalFormatting>
  <conditionalFormatting sqref="AY5:AY14">
    <cfRule type="cellIs" dxfId="19" priority="25" operator="greaterThan">
      <formula>AX5</formula>
    </cfRule>
  </conditionalFormatting>
  <conditionalFormatting sqref="BA5:BA14">
    <cfRule type="cellIs" dxfId="18" priority="26" operator="greaterThan">
      <formula>AZ5</formula>
    </cfRule>
  </conditionalFormatting>
  <conditionalFormatting sqref="BC5:BC14">
    <cfRule type="cellIs" dxfId="17" priority="27" operator="greaterThan">
      <formula>BB5</formula>
    </cfRule>
  </conditionalFormatting>
  <conditionalFormatting sqref="BE5:BE14">
    <cfRule type="cellIs" dxfId="16" priority="28" operator="greaterThan">
      <formula>BD5</formula>
    </cfRule>
  </conditionalFormatting>
  <conditionalFormatting sqref="BG5:BG14">
    <cfRule type="cellIs" dxfId="15" priority="29" operator="greaterThan">
      <formula>BF5</formula>
    </cfRule>
  </conditionalFormatting>
  <conditionalFormatting sqref="BI5:BI14">
    <cfRule type="cellIs" dxfId="14" priority="30" operator="greaterThan">
      <formula>BH5</formula>
    </cfRule>
  </conditionalFormatting>
  <conditionalFormatting sqref="BK5:BK14">
    <cfRule type="cellIs" dxfId="13" priority="31" operator="greaterThan">
      <formula>BJ5</formula>
    </cfRule>
  </conditionalFormatting>
  <conditionalFormatting sqref="BM5:BM14">
    <cfRule type="cellIs" dxfId="12" priority="32" operator="greaterThan">
      <formula>BL5</formula>
    </cfRule>
  </conditionalFormatting>
  <conditionalFormatting sqref="BO5:BO14">
    <cfRule type="cellIs" dxfId="11" priority="33" operator="greaterThan">
      <formula>BN5</formula>
    </cfRule>
  </conditionalFormatting>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sheetPr>
  <dimension ref="A1:AH59"/>
  <sheetViews>
    <sheetView showGridLines="0" topLeftCell="A54" zoomScaleNormal="100" workbookViewId="0">
      <selection activeCell="D51" sqref="D51"/>
    </sheetView>
  </sheetViews>
  <sheetFormatPr defaultColWidth="8.6640625" defaultRowHeight="14.4" x14ac:dyDescent="0.3"/>
  <cols>
    <col min="1" max="1" width="32" style="6" customWidth="1"/>
    <col min="2" max="34" width="9.44140625" style="6" customWidth="1"/>
    <col min="35" max="16384" width="8.6640625" style="6"/>
  </cols>
  <sheetData>
    <row r="1" spans="1:34" ht="30" customHeight="1" x14ac:dyDescent="0.3">
      <c r="A1" s="103" t="s">
        <v>796</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row>
    <row r="2" spans="1:34" ht="15.6" x14ac:dyDescent="0.3">
      <c r="A2" s="80" t="s">
        <v>797</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row>
    <row r="4" spans="1:34" ht="15.6" x14ac:dyDescent="0.3">
      <c r="A4" s="35" t="s">
        <v>682</v>
      </c>
    </row>
    <row r="5" spans="1:34" ht="24" x14ac:dyDescent="0.3">
      <c r="A5" s="69" t="s">
        <v>619</v>
      </c>
      <c r="B5" s="69" t="s">
        <v>683</v>
      </c>
      <c r="C5" s="69" t="s">
        <v>476</v>
      </c>
      <c r="D5" s="69" t="s">
        <v>684</v>
      </c>
    </row>
    <row r="6" spans="1:34" x14ac:dyDescent="0.3">
      <c r="A6" s="7" t="str">
        <f>Districts_Setup!$B$4</f>
        <v>Ahmedabad</v>
      </c>
      <c r="B6" s="27">
        <f>'District_PGI-D_600'!G92</f>
        <v>308.82</v>
      </c>
      <c r="C6" s="67">
        <f>'District_PGI-D_600'!G93</f>
        <v>51.469999999999992</v>
      </c>
      <c r="D6" s="68" t="str">
        <f>'District_PGI-D_600'!G94</f>
        <v>Prachesta-1</v>
      </c>
    </row>
    <row r="7" spans="1:34" x14ac:dyDescent="0.3">
      <c r="A7" s="7" t="str">
        <f>Districts_Setup!$B$5</f>
        <v>Amreli</v>
      </c>
      <c r="B7" s="27">
        <f>'District_PGI-D_600'!H92</f>
        <v>315.39999999999998</v>
      </c>
      <c r="C7" s="67">
        <f>'District_PGI-D_600'!H93</f>
        <v>52.566666666666663</v>
      </c>
      <c r="D7" s="68" t="str">
        <f>'District_PGI-D_600'!H94</f>
        <v>Prachesta-1</v>
      </c>
    </row>
    <row r="8" spans="1:34" x14ac:dyDescent="0.3">
      <c r="A8" s="7" t="str">
        <f>Districts_Setup!$B$6</f>
        <v>Anand</v>
      </c>
      <c r="B8" s="27">
        <f>'District_PGI-D_600'!I92</f>
        <v>335.37</v>
      </c>
      <c r="C8" s="67">
        <f>'District_PGI-D_600'!I93</f>
        <v>55.895000000000003</v>
      </c>
      <c r="D8" s="68" t="str">
        <f>'District_PGI-D_600'!I94</f>
        <v>Prachesta-1</v>
      </c>
    </row>
    <row r="9" spans="1:34" x14ac:dyDescent="0.3">
      <c r="A9" s="7" t="str">
        <f>Districts_Setup!$B$7</f>
        <v>Aravalli</v>
      </c>
      <c r="B9" s="27">
        <f>'District_PGI-D_600'!J92</f>
        <v>320.97999999999996</v>
      </c>
      <c r="C9" s="67">
        <f>'District_PGI-D_600'!J93</f>
        <v>53.496666666666655</v>
      </c>
      <c r="D9" s="68" t="str">
        <f>'District_PGI-D_600'!J94</f>
        <v>Prachesta-1</v>
      </c>
    </row>
    <row r="10" spans="1:34" x14ac:dyDescent="0.3">
      <c r="A10" s="7" t="str">
        <f>Districts_Setup!$B$8</f>
        <v>Banaskantha</v>
      </c>
      <c r="B10" s="27">
        <f>'District_PGI-D_600'!K92</f>
        <v>319.24</v>
      </c>
      <c r="C10" s="67">
        <f>'District_PGI-D_600'!K93</f>
        <v>53.206666666666671</v>
      </c>
      <c r="D10" s="68" t="str">
        <f>'District_PGI-D_600'!K94</f>
        <v>Prachesta-1</v>
      </c>
    </row>
    <row r="11" spans="1:34" x14ac:dyDescent="0.3">
      <c r="A11" s="7" t="str">
        <f>Districts_Setup!$B$9</f>
        <v>Bharuch</v>
      </c>
      <c r="B11" s="27">
        <f>'District_PGI-D_600'!L92</f>
        <v>318.11</v>
      </c>
      <c r="C11" s="67">
        <f>'District_PGI-D_600'!L93</f>
        <v>53.018333333333331</v>
      </c>
      <c r="D11" s="68" t="str">
        <f>'District_PGI-D_600'!L94</f>
        <v>Prachesta-1</v>
      </c>
    </row>
    <row r="12" spans="1:34" x14ac:dyDescent="0.3">
      <c r="A12" s="7" t="str">
        <f>Districts_Setup!$B$10</f>
        <v>Bhavnagar</v>
      </c>
      <c r="B12" s="27">
        <f>'District_PGI-D_600'!M92</f>
        <v>334.29999999999995</v>
      </c>
      <c r="C12" s="67">
        <f>'District_PGI-D_600'!M93</f>
        <v>55.716666666666661</v>
      </c>
      <c r="D12" s="68" t="str">
        <f>'District_PGI-D_600'!M94</f>
        <v>Prachesta-1</v>
      </c>
    </row>
    <row r="13" spans="1:34" x14ac:dyDescent="0.3">
      <c r="A13" s="7" t="str">
        <f>Districts_Setup!$B$11</f>
        <v>Botad</v>
      </c>
      <c r="B13" s="27">
        <f>'District_PGI-D_600'!N92</f>
        <v>322.01</v>
      </c>
      <c r="C13" s="67">
        <f>'District_PGI-D_600'!N93</f>
        <v>53.668333333333329</v>
      </c>
      <c r="D13" s="68" t="str">
        <f>'District_PGI-D_600'!N94</f>
        <v>Prachesta-1</v>
      </c>
    </row>
    <row r="14" spans="1:34" x14ac:dyDescent="0.3">
      <c r="A14" s="7" t="str">
        <f>Districts_Setup!$B$12</f>
        <v>Chhota Udepur</v>
      </c>
      <c r="B14" s="27">
        <f>'District_PGI-D_600'!O92</f>
        <v>300.96000000000004</v>
      </c>
      <c r="C14" s="67">
        <f>'District_PGI-D_600'!O93</f>
        <v>50.160000000000004</v>
      </c>
      <c r="D14" s="68" t="str">
        <f>'District_PGI-D_600'!O94</f>
        <v>Prachesta-2</v>
      </c>
    </row>
    <row r="15" spans="1:34" x14ac:dyDescent="0.3">
      <c r="A15" s="7" t="str">
        <f>Districts_Setup!$B$13</f>
        <v>Dahod</v>
      </c>
      <c r="B15" s="27">
        <f>'District_PGI-D_600'!P92</f>
        <v>305.67</v>
      </c>
      <c r="C15" s="67">
        <f>'District_PGI-D_600'!P93</f>
        <v>50.945000000000007</v>
      </c>
      <c r="D15" s="68" t="str">
        <f>'District_PGI-D_600'!P94</f>
        <v>Prachesta-2</v>
      </c>
    </row>
    <row r="16" spans="1:34" x14ac:dyDescent="0.3">
      <c r="A16" s="7" t="str">
        <f>Districts_Setup!$B$14</f>
        <v>Dang</v>
      </c>
      <c r="B16" s="27">
        <f>'District_PGI-D_600'!Q92</f>
        <v>314.50999999999993</v>
      </c>
      <c r="C16" s="67">
        <f>'District_PGI-D_600'!Q93</f>
        <v>52.418333333333322</v>
      </c>
      <c r="D16" s="68" t="str">
        <f>'District_PGI-D_600'!Q94</f>
        <v>Prachesta-1</v>
      </c>
    </row>
    <row r="17" spans="1:4" x14ac:dyDescent="0.3">
      <c r="A17" s="7" t="str">
        <f>Districts_Setup!$B$15</f>
        <v>Devbhoomi Dwarka</v>
      </c>
      <c r="B17" s="27">
        <f>'District_PGI-D_600'!R92</f>
        <v>330.76000000000005</v>
      </c>
      <c r="C17" s="67">
        <f>'District_PGI-D_600'!R93</f>
        <v>55.126666666666679</v>
      </c>
      <c r="D17" s="68" t="str">
        <f>'District_PGI-D_600'!R94</f>
        <v>Prachesta-1</v>
      </c>
    </row>
    <row r="18" spans="1:4" x14ac:dyDescent="0.3">
      <c r="A18" s="7" t="str">
        <f>Districts_Setup!$B$16</f>
        <v>Gandhinagar</v>
      </c>
      <c r="B18" s="27">
        <f>'District_PGI-D_600'!S92</f>
        <v>338.3</v>
      </c>
      <c r="C18" s="67">
        <f>'District_PGI-D_600'!S93</f>
        <v>56.383333333333333</v>
      </c>
      <c r="D18" s="68" t="str">
        <f>'District_PGI-D_600'!S94</f>
        <v>Prachesta-1</v>
      </c>
    </row>
    <row r="19" spans="1:4" x14ac:dyDescent="0.3">
      <c r="A19" s="7" t="str">
        <f>Districts_Setup!$B$17</f>
        <v>Gir Somnath</v>
      </c>
      <c r="B19" s="27">
        <f>'District_PGI-D_600'!T92</f>
        <v>321.32</v>
      </c>
      <c r="C19" s="67">
        <f>'District_PGI-D_600'!T93</f>
        <v>53.553333333333327</v>
      </c>
      <c r="D19" s="68" t="str">
        <f>'District_PGI-D_600'!T94</f>
        <v>Prachesta-1</v>
      </c>
    </row>
    <row r="20" spans="1:4" x14ac:dyDescent="0.3">
      <c r="A20" s="7" t="str">
        <f>Districts_Setup!$B$18</f>
        <v>Jamnagar</v>
      </c>
      <c r="B20" s="27">
        <f>'District_PGI-D_600'!U92</f>
        <v>310.02</v>
      </c>
      <c r="C20" s="67">
        <f>'District_PGI-D_600'!U93</f>
        <v>51.669999999999995</v>
      </c>
      <c r="D20" s="68" t="str">
        <f>'District_PGI-D_600'!U94</f>
        <v>Prachesta-1</v>
      </c>
    </row>
    <row r="21" spans="1:4" x14ac:dyDescent="0.3">
      <c r="A21" s="7" t="str">
        <f>Districts_Setup!$B$19</f>
        <v>Junagadh</v>
      </c>
      <c r="B21" s="27">
        <f>'District_PGI-D_600'!V92</f>
        <v>336.63</v>
      </c>
      <c r="C21" s="67">
        <f>'District_PGI-D_600'!V93</f>
        <v>56.104999999999997</v>
      </c>
      <c r="D21" s="68" t="str">
        <f>'District_PGI-D_600'!V94</f>
        <v>Prachesta-1</v>
      </c>
    </row>
    <row r="22" spans="1:4" x14ac:dyDescent="0.3">
      <c r="A22" s="7" t="str">
        <f>Districts_Setup!$B$20</f>
        <v>Kutch</v>
      </c>
      <c r="B22" s="27">
        <f>'District_PGI-D_600'!W92</f>
        <v>313.68000000000006</v>
      </c>
      <c r="C22" s="67">
        <f>'District_PGI-D_600'!W93</f>
        <v>52.280000000000015</v>
      </c>
      <c r="D22" s="68" t="str">
        <f>'District_PGI-D_600'!W94</f>
        <v>Prachesta-1</v>
      </c>
    </row>
    <row r="23" spans="1:4" x14ac:dyDescent="0.3">
      <c r="A23" s="7" t="str">
        <f>Districts_Setup!$B$21</f>
        <v>Kheda</v>
      </c>
      <c r="B23" s="27">
        <f>'District_PGI-D_600'!X92</f>
        <v>321.79999999999995</v>
      </c>
      <c r="C23" s="67">
        <f>'District_PGI-D_600'!X93</f>
        <v>53.633333333333319</v>
      </c>
      <c r="D23" s="68" t="str">
        <f>'District_PGI-D_600'!X94</f>
        <v>Prachesta-1</v>
      </c>
    </row>
    <row r="24" spans="1:4" x14ac:dyDescent="0.3">
      <c r="A24" s="7" t="str">
        <f>Districts_Setup!$B$22</f>
        <v>Mahisagar</v>
      </c>
      <c r="B24" s="27">
        <f>'District_PGI-D_600'!Y92</f>
        <v>327.52000000000004</v>
      </c>
      <c r="C24" s="67">
        <f>'District_PGI-D_600'!Y93</f>
        <v>54.586666666666673</v>
      </c>
      <c r="D24" s="68" t="str">
        <f>'District_PGI-D_600'!Y94</f>
        <v>Prachesta-1</v>
      </c>
    </row>
    <row r="25" spans="1:4" x14ac:dyDescent="0.3">
      <c r="A25" s="7" t="str">
        <f>Districts_Setup!$B$23</f>
        <v>Mehsana</v>
      </c>
      <c r="B25" s="27">
        <f>'District_PGI-D_600'!Z92</f>
        <v>338.75</v>
      </c>
      <c r="C25" s="67">
        <f>'District_PGI-D_600'!Z93</f>
        <v>56.458333333333336</v>
      </c>
      <c r="D25" s="68" t="str">
        <f>'District_PGI-D_600'!Z94</f>
        <v>Prachesta-1</v>
      </c>
    </row>
    <row r="26" spans="1:4" x14ac:dyDescent="0.3">
      <c r="A26" s="7" t="str">
        <f>Districts_Setup!$B$24</f>
        <v>Morbi</v>
      </c>
      <c r="B26" s="27">
        <f>'District_PGI-D_600'!AA92</f>
        <v>319.32</v>
      </c>
      <c r="C26" s="67">
        <f>'District_PGI-D_600'!AA93</f>
        <v>53.22</v>
      </c>
      <c r="D26" s="68" t="str">
        <f>'District_PGI-D_600'!AA94</f>
        <v>Prachesta-1</v>
      </c>
    </row>
    <row r="27" spans="1:4" x14ac:dyDescent="0.3">
      <c r="A27" s="7" t="str">
        <f>Districts_Setup!$B$25</f>
        <v>Narmada</v>
      </c>
      <c r="B27" s="27">
        <f>'District_PGI-D_600'!AB92</f>
        <v>327.02999999999997</v>
      </c>
      <c r="C27" s="67">
        <f>'District_PGI-D_600'!AB93</f>
        <v>54.504999999999995</v>
      </c>
      <c r="D27" s="68" t="str">
        <f>'District_PGI-D_600'!AB94</f>
        <v>Prachesta-1</v>
      </c>
    </row>
    <row r="28" spans="1:4" x14ac:dyDescent="0.3">
      <c r="A28" s="7" t="str">
        <f>Districts_Setup!$B$26</f>
        <v>Navsari</v>
      </c>
      <c r="B28" s="27">
        <f>'District_PGI-D_600'!AC92</f>
        <v>345.42</v>
      </c>
      <c r="C28" s="67">
        <f>'District_PGI-D_600'!AC93</f>
        <v>57.57</v>
      </c>
      <c r="D28" s="68" t="str">
        <f>'District_PGI-D_600'!AC94</f>
        <v>Prachesta-1</v>
      </c>
    </row>
    <row r="29" spans="1:4" x14ac:dyDescent="0.3">
      <c r="A29" s="7" t="str">
        <f>Districts_Setup!$B$27</f>
        <v>Panchmahal</v>
      </c>
      <c r="B29" s="27">
        <f>'District_PGI-D_600'!AD92</f>
        <v>327.10000000000002</v>
      </c>
      <c r="C29" s="67">
        <f>'District_PGI-D_600'!AD93</f>
        <v>54.516666666666666</v>
      </c>
      <c r="D29" s="68" t="str">
        <f>'District_PGI-D_600'!AD94</f>
        <v>Prachesta-1</v>
      </c>
    </row>
    <row r="30" spans="1:4" x14ac:dyDescent="0.3">
      <c r="A30" s="7" t="str">
        <f>Districts_Setup!$B$28</f>
        <v>Patan</v>
      </c>
      <c r="B30" s="27">
        <f>'District_PGI-D_600'!AE92</f>
        <v>323.85000000000002</v>
      </c>
      <c r="C30" s="67">
        <f>'District_PGI-D_600'!AE93</f>
        <v>53.975000000000009</v>
      </c>
      <c r="D30" s="68" t="str">
        <f>'District_PGI-D_600'!AE94</f>
        <v>Prachesta-1</v>
      </c>
    </row>
    <row r="31" spans="1:4" x14ac:dyDescent="0.3">
      <c r="A31" s="7" t="str">
        <f>Districts_Setup!$B$29</f>
        <v>Porbandar</v>
      </c>
      <c r="B31" s="27">
        <f>'District_PGI-D_600'!AF92</f>
        <v>321.03000000000003</v>
      </c>
      <c r="C31" s="67">
        <f>'District_PGI-D_600'!AF93</f>
        <v>53.505000000000003</v>
      </c>
      <c r="D31" s="68" t="str">
        <f>'District_PGI-D_600'!AF94</f>
        <v>Prachesta-1</v>
      </c>
    </row>
    <row r="32" spans="1:4" x14ac:dyDescent="0.3">
      <c r="A32" s="7" t="str">
        <f>Districts_Setup!$B$30</f>
        <v>Rajkot</v>
      </c>
      <c r="B32" s="27">
        <f>'District_PGI-D_600'!AG92</f>
        <v>322.18</v>
      </c>
      <c r="C32" s="67">
        <f>'District_PGI-D_600'!AG93</f>
        <v>53.696666666666673</v>
      </c>
      <c r="D32" s="68" t="str">
        <f>'District_PGI-D_600'!AG94</f>
        <v>Prachesta-1</v>
      </c>
    </row>
    <row r="33" spans="1:34" x14ac:dyDescent="0.3">
      <c r="A33" s="7" t="str">
        <f>Districts_Setup!$B$31</f>
        <v>Sabarkantha</v>
      </c>
      <c r="B33" s="27">
        <f>'District_PGI-D_600'!AH92</f>
        <v>331.64</v>
      </c>
      <c r="C33" s="67">
        <f>'District_PGI-D_600'!AH93</f>
        <v>55.273333333333326</v>
      </c>
      <c r="D33" s="68" t="str">
        <f>'District_PGI-D_600'!AH94</f>
        <v>Prachesta-1</v>
      </c>
    </row>
    <row r="34" spans="1:34" x14ac:dyDescent="0.3">
      <c r="A34" s="7" t="str">
        <f>Districts_Setup!$B$32</f>
        <v>Surat</v>
      </c>
      <c r="B34" s="27">
        <f>'District_PGI-D_600'!AI92</f>
        <v>326.97000000000003</v>
      </c>
      <c r="C34" s="67">
        <f>'District_PGI-D_600'!AI93</f>
        <v>54.495000000000005</v>
      </c>
      <c r="D34" s="68" t="str">
        <f>'District_PGI-D_600'!AI94</f>
        <v>Prachesta-1</v>
      </c>
    </row>
    <row r="35" spans="1:34" x14ac:dyDescent="0.3">
      <c r="A35" s="7" t="str">
        <f>Districts_Setup!$B$33</f>
        <v>Surendranagar</v>
      </c>
      <c r="B35" s="27">
        <f>'District_PGI-D_600'!AJ92</f>
        <v>330.8</v>
      </c>
      <c r="C35" s="67">
        <f>'District_PGI-D_600'!AJ93</f>
        <v>55.133333333333333</v>
      </c>
      <c r="D35" s="68" t="str">
        <f>'District_PGI-D_600'!AJ94</f>
        <v>Prachesta-1</v>
      </c>
    </row>
    <row r="36" spans="1:34" x14ac:dyDescent="0.3">
      <c r="A36" s="7" t="str">
        <f>Districts_Setup!$B$34</f>
        <v>Tapi</v>
      </c>
      <c r="B36" s="27">
        <f>'District_PGI-D_600'!AK92</f>
        <v>342.93</v>
      </c>
      <c r="C36" s="67">
        <f>'District_PGI-D_600'!AK93</f>
        <v>57.155000000000001</v>
      </c>
      <c r="D36" s="68" t="str">
        <f>'District_PGI-D_600'!AK94</f>
        <v>Prachesta-1</v>
      </c>
    </row>
    <row r="37" spans="1:34" x14ac:dyDescent="0.3">
      <c r="A37" s="7" t="str">
        <f>Districts_Setup!$B$35</f>
        <v>Vadodara</v>
      </c>
      <c r="B37" s="27">
        <f>'District_PGI-D_600'!AL92</f>
        <v>333.32999999999993</v>
      </c>
      <c r="C37" s="67">
        <f>'District_PGI-D_600'!AL93</f>
        <v>55.554999999999986</v>
      </c>
      <c r="D37" s="68" t="str">
        <f>'District_PGI-D_600'!AL94</f>
        <v>Prachesta-1</v>
      </c>
    </row>
    <row r="38" spans="1:34" x14ac:dyDescent="0.3">
      <c r="A38" s="7" t="str">
        <f>Districts_Setup!$B$36</f>
        <v>Valsad</v>
      </c>
      <c r="B38" s="27">
        <f>'District_PGI-D_600'!AM92</f>
        <v>326.20999999999998</v>
      </c>
      <c r="C38" s="67">
        <f>'District_PGI-D_600'!AM93</f>
        <v>54.368333333333332</v>
      </c>
      <c r="D38" s="68" t="str">
        <f>'District_PGI-D_600'!AM94</f>
        <v>Prachesta-1</v>
      </c>
    </row>
    <row r="40" spans="1:34" ht="15.6" x14ac:dyDescent="0.3">
      <c r="A40" s="35" t="s">
        <v>685</v>
      </c>
    </row>
    <row r="41" spans="1:34" ht="24" x14ac:dyDescent="0.3">
      <c r="A41" s="69" t="s">
        <v>435</v>
      </c>
      <c r="B41" s="69" t="str">
        <f>Districts_Setup!$B$4</f>
        <v>Ahmedabad</v>
      </c>
      <c r="C41" s="69" t="str">
        <f>Districts_Setup!$B$5</f>
        <v>Amreli</v>
      </c>
      <c r="D41" s="69" t="str">
        <f>Districts_Setup!$B$6</f>
        <v>Anand</v>
      </c>
      <c r="E41" s="69" t="str">
        <f>Districts_Setup!$B$7</f>
        <v>Aravalli</v>
      </c>
      <c r="F41" s="69" t="str">
        <f>Districts_Setup!$B$8</f>
        <v>Banaskantha</v>
      </c>
      <c r="G41" s="69" t="str">
        <f>Districts_Setup!$B$9</f>
        <v>Bharuch</v>
      </c>
      <c r="H41" s="69" t="str">
        <f>Districts_Setup!$B$10</f>
        <v>Bhavnagar</v>
      </c>
      <c r="I41" s="69" t="str">
        <f>Districts_Setup!$B$11</f>
        <v>Botad</v>
      </c>
      <c r="J41" s="69" t="str">
        <f>Districts_Setup!$B$12</f>
        <v>Chhota Udepur</v>
      </c>
      <c r="K41" s="69" t="str">
        <f>Districts_Setup!$B$13</f>
        <v>Dahod</v>
      </c>
      <c r="L41" s="69" t="str">
        <f>Districts_Setup!$B$14</f>
        <v>Dang</v>
      </c>
      <c r="M41" s="69" t="str">
        <f>Districts_Setup!$B$15</f>
        <v>Devbhoomi Dwarka</v>
      </c>
      <c r="N41" s="69" t="str">
        <f>Districts_Setup!$B$16</f>
        <v>Gandhinagar</v>
      </c>
      <c r="O41" s="69" t="str">
        <f>Districts_Setup!$B$17</f>
        <v>Gir Somnath</v>
      </c>
      <c r="P41" s="69" t="str">
        <f>Districts_Setup!$B$18</f>
        <v>Jamnagar</v>
      </c>
      <c r="Q41" s="69" t="str">
        <f>Districts_Setup!$B$19</f>
        <v>Junagadh</v>
      </c>
      <c r="R41" s="69" t="str">
        <f>Districts_Setup!$B$20</f>
        <v>Kutch</v>
      </c>
      <c r="S41" s="69" t="str">
        <f>Districts_Setup!$B$21</f>
        <v>Kheda</v>
      </c>
      <c r="T41" s="69" t="str">
        <f>Districts_Setup!$B$22</f>
        <v>Mahisagar</v>
      </c>
      <c r="U41" s="69" t="str">
        <f>Districts_Setup!$B$23</f>
        <v>Mehsana</v>
      </c>
      <c r="V41" s="69" t="str">
        <f>Districts_Setup!$B$24</f>
        <v>Morbi</v>
      </c>
      <c r="W41" s="69" t="str">
        <f>Districts_Setup!$B$25</f>
        <v>Narmada</v>
      </c>
      <c r="X41" s="69" t="str">
        <f>Districts_Setup!$B$26</f>
        <v>Navsari</v>
      </c>
      <c r="Y41" s="69" t="str">
        <f>Districts_Setup!$B$27</f>
        <v>Panchmahal</v>
      </c>
      <c r="Z41" s="69" t="str">
        <f>Districts_Setup!$B$28</f>
        <v>Patan</v>
      </c>
      <c r="AA41" s="69" t="str">
        <f>Districts_Setup!$B$29</f>
        <v>Porbandar</v>
      </c>
      <c r="AB41" s="69" t="str">
        <f>Districts_Setup!$B$30</f>
        <v>Rajkot</v>
      </c>
      <c r="AC41" s="69" t="str">
        <f>Districts_Setup!$B$31</f>
        <v>Sabarkantha</v>
      </c>
      <c r="AD41" s="69" t="str">
        <f>Districts_Setup!$B$32</f>
        <v>Surat</v>
      </c>
      <c r="AE41" s="69" t="str">
        <f>Districts_Setup!$B$33</f>
        <v>Surendranagar</v>
      </c>
      <c r="AF41" s="69" t="str">
        <f>Districts_Setup!$B$34</f>
        <v>Tapi</v>
      </c>
      <c r="AG41" s="69" t="str">
        <f>Districts_Setup!$B$35</f>
        <v>Vadodara</v>
      </c>
      <c r="AH41" s="69" t="str">
        <f>Districts_Setup!$B$36</f>
        <v>Valsad</v>
      </c>
    </row>
    <row r="42" spans="1:34" x14ac:dyDescent="0.3">
      <c r="A42" s="10" t="s">
        <v>686</v>
      </c>
      <c r="B42" s="27">
        <f>'District_PGI-D_600'!G80</f>
        <v>126.65</v>
      </c>
      <c r="C42" s="27">
        <f>'District_PGI-D_600'!H80</f>
        <v>118.36999999999999</v>
      </c>
      <c r="D42" s="27">
        <f>'District_PGI-D_600'!I80</f>
        <v>129.97</v>
      </c>
      <c r="E42" s="27">
        <f>'District_PGI-D_600'!J80</f>
        <v>124.38</v>
      </c>
      <c r="F42" s="27">
        <f>'District_PGI-D_600'!K80</f>
        <v>117.10000000000001</v>
      </c>
      <c r="G42" s="27">
        <f>'District_PGI-D_600'!L80</f>
        <v>124.66</v>
      </c>
      <c r="H42" s="27">
        <f>'District_PGI-D_600'!M80</f>
        <v>131.85999999999999</v>
      </c>
      <c r="I42" s="27">
        <f>'District_PGI-D_600'!N80</f>
        <v>118.58</v>
      </c>
      <c r="J42" s="27">
        <f>'District_PGI-D_600'!O80</f>
        <v>107.21</v>
      </c>
      <c r="K42" s="27">
        <f>'District_PGI-D_600'!P80</f>
        <v>116.10000000000001</v>
      </c>
      <c r="L42" s="27">
        <f>'District_PGI-D_600'!Q80</f>
        <v>117.85999999999999</v>
      </c>
      <c r="M42" s="27">
        <f>'District_PGI-D_600'!R80</f>
        <v>127.65</v>
      </c>
      <c r="N42" s="27">
        <f>'District_PGI-D_600'!S80</f>
        <v>147.80000000000001</v>
      </c>
      <c r="O42" s="27">
        <f>'District_PGI-D_600'!T80</f>
        <v>118.85</v>
      </c>
      <c r="P42" s="27">
        <f>'District_PGI-D_600'!U80</f>
        <v>119.32999999999998</v>
      </c>
      <c r="Q42" s="27">
        <f>'District_PGI-D_600'!V80</f>
        <v>138.63999999999999</v>
      </c>
      <c r="R42" s="27">
        <f>'District_PGI-D_600'!W80</f>
        <v>119.11000000000001</v>
      </c>
      <c r="S42" s="27">
        <f>'District_PGI-D_600'!X80</f>
        <v>120.20999999999998</v>
      </c>
      <c r="T42" s="27">
        <f>'District_PGI-D_600'!Y80</f>
        <v>128.84</v>
      </c>
      <c r="U42" s="27">
        <f>'District_PGI-D_600'!Z80</f>
        <v>132.54</v>
      </c>
      <c r="V42" s="27">
        <f>'District_PGI-D_600'!AA80</f>
        <v>121.22</v>
      </c>
      <c r="W42" s="27">
        <f>'District_PGI-D_600'!AB80</f>
        <v>121.38</v>
      </c>
      <c r="X42" s="27">
        <f>'District_PGI-D_600'!AC80</f>
        <v>139.05000000000001</v>
      </c>
      <c r="Y42" s="27">
        <f>'District_PGI-D_600'!AD80</f>
        <v>129.81</v>
      </c>
      <c r="Z42" s="27">
        <f>'District_PGI-D_600'!AE80</f>
        <v>121.85</v>
      </c>
      <c r="AA42" s="27">
        <f>'District_PGI-D_600'!AF80</f>
        <v>120.72000000000001</v>
      </c>
      <c r="AB42" s="27">
        <f>'District_PGI-D_600'!AG80</f>
        <v>131.43</v>
      </c>
      <c r="AC42" s="27">
        <f>'District_PGI-D_600'!AH80</f>
        <v>131.67000000000002</v>
      </c>
      <c r="AD42" s="27">
        <f>'District_PGI-D_600'!AI80</f>
        <v>134.35</v>
      </c>
      <c r="AE42" s="27">
        <f>'District_PGI-D_600'!AJ80</f>
        <v>126.17000000000002</v>
      </c>
      <c r="AF42" s="27">
        <f>'District_PGI-D_600'!AK80</f>
        <v>135.45999999999998</v>
      </c>
      <c r="AG42" s="27">
        <f>'District_PGI-D_600'!AL80</f>
        <v>134.81</v>
      </c>
      <c r="AH42" s="27">
        <f>'District_PGI-D_600'!AM80</f>
        <v>131.32999999999998</v>
      </c>
    </row>
    <row r="43" spans="1:34" x14ac:dyDescent="0.3">
      <c r="A43" s="10" t="s">
        <v>687</v>
      </c>
      <c r="B43" s="27">
        <f>'District_PGI-D_600'!G83</f>
        <v>57.44</v>
      </c>
      <c r="C43" s="27">
        <f>'District_PGI-D_600'!H83</f>
        <v>68.859999999999985</v>
      </c>
      <c r="D43" s="27">
        <f>'District_PGI-D_600'!I83</f>
        <v>68.31</v>
      </c>
      <c r="E43" s="27">
        <f>'District_PGI-D_600'!J83</f>
        <v>68.56</v>
      </c>
      <c r="F43" s="27">
        <f>'District_PGI-D_600'!K83</f>
        <v>68.36999999999999</v>
      </c>
      <c r="G43" s="27">
        <f>'District_PGI-D_600'!L83</f>
        <v>64.569999999999993</v>
      </c>
      <c r="H43" s="27">
        <f>'District_PGI-D_600'!M83</f>
        <v>66.37</v>
      </c>
      <c r="I43" s="27">
        <f>'District_PGI-D_600'!N83</f>
        <v>71.150000000000006</v>
      </c>
      <c r="J43" s="27">
        <f>'District_PGI-D_600'!O83</f>
        <v>66.58</v>
      </c>
      <c r="K43" s="27">
        <f>'District_PGI-D_600'!P83</f>
        <v>64.429999999999993</v>
      </c>
      <c r="L43" s="27">
        <f>'District_PGI-D_600'!Q83</f>
        <v>68.86999999999999</v>
      </c>
      <c r="M43" s="27">
        <f>'District_PGI-D_600'!R83</f>
        <v>67.83</v>
      </c>
      <c r="N43" s="27">
        <f>'District_PGI-D_600'!S83</f>
        <v>61.28</v>
      </c>
      <c r="O43" s="27">
        <f>'District_PGI-D_600'!T83</f>
        <v>67.820000000000007</v>
      </c>
      <c r="P43" s="27">
        <f>'District_PGI-D_600'!U83</f>
        <v>62.51</v>
      </c>
      <c r="Q43" s="27">
        <f>'District_PGI-D_600'!V83</f>
        <v>63.83</v>
      </c>
      <c r="R43" s="27">
        <f>'District_PGI-D_600'!W83</f>
        <v>65.2</v>
      </c>
      <c r="S43" s="27">
        <f>'District_PGI-D_600'!X83</f>
        <v>67.5</v>
      </c>
      <c r="T43" s="27">
        <f>'District_PGI-D_600'!Y83</f>
        <v>68.58</v>
      </c>
      <c r="U43" s="27">
        <f>'District_PGI-D_600'!Z83</f>
        <v>67.88000000000001</v>
      </c>
      <c r="V43" s="27">
        <f>'District_PGI-D_600'!AA83</f>
        <v>69.17</v>
      </c>
      <c r="W43" s="27">
        <f>'District_PGI-D_600'!AB83</f>
        <v>72.289999999999992</v>
      </c>
      <c r="X43" s="27">
        <f>'District_PGI-D_600'!AC83</f>
        <v>69.03</v>
      </c>
      <c r="Y43" s="27">
        <f>'District_PGI-D_600'!AD83</f>
        <v>67.759999999999991</v>
      </c>
      <c r="Z43" s="27">
        <f>'District_PGI-D_600'!AE83</f>
        <v>69.110000000000014</v>
      </c>
      <c r="AA43" s="27">
        <f>'District_PGI-D_600'!AF83</f>
        <v>67.89</v>
      </c>
      <c r="AB43" s="27">
        <f>'District_PGI-D_600'!AG83</f>
        <v>62.35</v>
      </c>
      <c r="AC43" s="27">
        <f>'District_PGI-D_600'!AH83</f>
        <v>68.470000000000013</v>
      </c>
      <c r="AD43" s="27">
        <f>'District_PGI-D_600'!AI83</f>
        <v>61.589999999999989</v>
      </c>
      <c r="AE43" s="27">
        <f>'District_PGI-D_600'!AJ83</f>
        <v>68.949999999999989</v>
      </c>
      <c r="AF43" s="27">
        <f>'District_PGI-D_600'!AK83</f>
        <v>70.02000000000001</v>
      </c>
      <c r="AG43" s="27">
        <f>'District_PGI-D_600'!AL83</f>
        <v>66.150000000000006</v>
      </c>
      <c r="AH43" s="27">
        <f>'District_PGI-D_600'!AM83</f>
        <v>65.89</v>
      </c>
    </row>
    <row r="44" spans="1:34" x14ac:dyDescent="0.3">
      <c r="A44" s="10" t="s">
        <v>688</v>
      </c>
      <c r="B44" s="27">
        <f>'District_PGI-D_600'!G85</f>
        <v>33.07</v>
      </c>
      <c r="C44" s="27">
        <f>'District_PGI-D_600'!H85</f>
        <v>34.519999999999996</v>
      </c>
      <c r="D44" s="27">
        <f>'District_PGI-D_600'!I85</f>
        <v>36.97</v>
      </c>
      <c r="E44" s="27">
        <f>'District_PGI-D_600'!J85</f>
        <v>37.440000000000005</v>
      </c>
      <c r="F44" s="27">
        <f>'District_PGI-D_600'!K85</f>
        <v>35.63000000000001</v>
      </c>
      <c r="G44" s="27">
        <f>'District_PGI-D_600'!L85</f>
        <v>35.129999999999988</v>
      </c>
      <c r="H44" s="27">
        <f>'District_PGI-D_600'!M85</f>
        <v>35.020000000000003</v>
      </c>
      <c r="I44" s="27">
        <f>'District_PGI-D_600'!N85</f>
        <v>34.770000000000003</v>
      </c>
      <c r="J44" s="27">
        <f>'District_PGI-D_600'!O85</f>
        <v>34.08</v>
      </c>
      <c r="K44" s="27">
        <f>'District_PGI-D_600'!P85</f>
        <v>31.200000000000003</v>
      </c>
      <c r="L44" s="27">
        <f>'District_PGI-D_600'!Q85</f>
        <v>36.450000000000003</v>
      </c>
      <c r="M44" s="27">
        <f>'District_PGI-D_600'!R85</f>
        <v>34.330000000000005</v>
      </c>
      <c r="N44" s="27">
        <f>'District_PGI-D_600'!S85</f>
        <v>34.92</v>
      </c>
      <c r="O44" s="27">
        <f>'District_PGI-D_600'!T85</f>
        <v>34.160000000000004</v>
      </c>
      <c r="P44" s="27">
        <f>'District_PGI-D_600'!U85</f>
        <v>30.899999999999995</v>
      </c>
      <c r="Q44" s="27">
        <f>'District_PGI-D_600'!V85</f>
        <v>34.620000000000005</v>
      </c>
      <c r="R44" s="27">
        <f>'District_PGI-D_600'!W85</f>
        <v>32.99</v>
      </c>
      <c r="S44" s="27">
        <f>'District_PGI-D_600'!X85</f>
        <v>37.28</v>
      </c>
      <c r="T44" s="27">
        <f>'District_PGI-D_600'!Y85</f>
        <v>36.06</v>
      </c>
      <c r="U44" s="27">
        <f>'District_PGI-D_600'!Z85</f>
        <v>37.94</v>
      </c>
      <c r="V44" s="27">
        <f>'District_PGI-D_600'!AA85</f>
        <v>35.29</v>
      </c>
      <c r="W44" s="27">
        <f>'District_PGI-D_600'!AB85</f>
        <v>36.799999999999997</v>
      </c>
      <c r="X44" s="27">
        <f>'District_PGI-D_600'!AC85</f>
        <v>37</v>
      </c>
      <c r="Y44" s="27">
        <f>'District_PGI-D_600'!AD85</f>
        <v>34.99</v>
      </c>
      <c r="Z44" s="27">
        <f>'District_PGI-D_600'!AE85</f>
        <v>36.47</v>
      </c>
      <c r="AA44" s="27">
        <f>'District_PGI-D_600'!AF85</f>
        <v>34.04</v>
      </c>
      <c r="AB44" s="27">
        <f>'District_PGI-D_600'!AG85</f>
        <v>33.600000000000009</v>
      </c>
      <c r="AC44" s="27">
        <f>'District_PGI-D_600'!AH85</f>
        <v>38.08</v>
      </c>
      <c r="AD44" s="27">
        <f>'District_PGI-D_600'!AI85</f>
        <v>33.580000000000005</v>
      </c>
      <c r="AE44" s="27">
        <f>'District_PGI-D_600'!AJ85</f>
        <v>34.5</v>
      </c>
      <c r="AF44" s="27">
        <f>'District_PGI-D_600'!AK85</f>
        <v>37.96</v>
      </c>
      <c r="AG44" s="27">
        <f>'District_PGI-D_600'!AL85</f>
        <v>35.86</v>
      </c>
      <c r="AH44" s="27">
        <f>'District_PGI-D_600'!AM85</f>
        <v>35.07</v>
      </c>
    </row>
    <row r="45" spans="1:34" x14ac:dyDescent="0.3">
      <c r="A45" s="10" t="s">
        <v>689</v>
      </c>
      <c r="B45" s="27">
        <f>'District_PGI-D_600'!G87</f>
        <v>18.3</v>
      </c>
      <c r="C45" s="27">
        <f>'District_PGI-D_600'!H87</f>
        <v>21.22</v>
      </c>
      <c r="D45" s="27">
        <f>'District_PGI-D_600'!I87</f>
        <v>21.92</v>
      </c>
      <c r="E45" s="27">
        <f>'District_PGI-D_600'!J87</f>
        <v>21.709999999999997</v>
      </c>
      <c r="F45" s="27">
        <f>'District_PGI-D_600'!K87</f>
        <v>22.14</v>
      </c>
      <c r="G45" s="27">
        <f>'District_PGI-D_600'!L87</f>
        <v>20.190000000000005</v>
      </c>
      <c r="H45" s="27">
        <f>'District_PGI-D_600'!M87</f>
        <v>21.33</v>
      </c>
      <c r="I45" s="27">
        <f>'District_PGI-D_600'!N87</f>
        <v>21.970000000000002</v>
      </c>
      <c r="J45" s="27">
        <f>'District_PGI-D_600'!O87</f>
        <v>21.37</v>
      </c>
      <c r="K45" s="27">
        <f>'District_PGI-D_600'!P87</f>
        <v>21.93</v>
      </c>
      <c r="L45" s="27">
        <f>'District_PGI-D_600'!Q87</f>
        <v>23.23</v>
      </c>
      <c r="M45" s="27">
        <f>'District_PGI-D_600'!R87</f>
        <v>22.69</v>
      </c>
      <c r="N45" s="27">
        <f>'District_PGI-D_600'!S87</f>
        <v>19.689999999999998</v>
      </c>
      <c r="O45" s="27">
        <f>'District_PGI-D_600'!T87</f>
        <v>22.34</v>
      </c>
      <c r="P45" s="27">
        <f>'District_PGI-D_600'!U87</f>
        <v>20.71</v>
      </c>
      <c r="Q45" s="27">
        <f>'District_PGI-D_600'!V87</f>
        <v>20.700000000000003</v>
      </c>
      <c r="R45" s="27">
        <f>'District_PGI-D_600'!W87</f>
        <v>20.86</v>
      </c>
      <c r="S45" s="27">
        <f>'District_PGI-D_600'!X87</f>
        <v>20.58</v>
      </c>
      <c r="T45" s="27">
        <f>'District_PGI-D_600'!Y87</f>
        <v>21.97</v>
      </c>
      <c r="U45" s="27">
        <f>'District_PGI-D_600'!Z87</f>
        <v>21.860000000000003</v>
      </c>
      <c r="V45" s="27">
        <f>'District_PGI-D_600'!AA87</f>
        <v>18.780000000000005</v>
      </c>
      <c r="W45" s="27">
        <f>'District_PGI-D_600'!AB87</f>
        <v>23.85</v>
      </c>
      <c r="X45" s="27">
        <f>'District_PGI-D_600'!AC87</f>
        <v>21.020000000000003</v>
      </c>
      <c r="Y45" s="27">
        <f>'District_PGI-D_600'!AD87</f>
        <v>22.04</v>
      </c>
      <c r="Z45" s="27">
        <f>'District_PGI-D_600'!AE87</f>
        <v>22.68</v>
      </c>
      <c r="AA45" s="27">
        <f>'District_PGI-D_600'!AF87</f>
        <v>20.96</v>
      </c>
      <c r="AB45" s="27">
        <f>'District_PGI-D_600'!AG87</f>
        <v>19.87</v>
      </c>
      <c r="AC45" s="27">
        <f>'District_PGI-D_600'!AH87</f>
        <v>21.769999999999996</v>
      </c>
      <c r="AD45" s="27">
        <f>'District_PGI-D_600'!AI87</f>
        <v>20.89</v>
      </c>
      <c r="AE45" s="27">
        <f>'District_PGI-D_600'!AJ87</f>
        <v>22.580000000000002</v>
      </c>
      <c r="AF45" s="27">
        <f>'District_PGI-D_600'!AK87</f>
        <v>23.490000000000002</v>
      </c>
      <c r="AG45" s="27">
        <f>'District_PGI-D_600'!AL87</f>
        <v>19.71</v>
      </c>
      <c r="AH45" s="27">
        <f>'District_PGI-D_600'!AM87</f>
        <v>20.709999999999997</v>
      </c>
    </row>
    <row r="46" spans="1:34" x14ac:dyDescent="0.3">
      <c r="A46" s="10" t="s">
        <v>690</v>
      </c>
      <c r="B46" s="27">
        <f>'District_PGI-D_600'!G89</f>
        <v>31.29</v>
      </c>
      <c r="C46" s="27">
        <f>'District_PGI-D_600'!H89</f>
        <v>33.950000000000003</v>
      </c>
      <c r="D46" s="27">
        <f>'District_PGI-D_600'!I89</f>
        <v>32.480000000000004</v>
      </c>
      <c r="E46" s="27">
        <f>'District_PGI-D_600'!J89</f>
        <v>29.68</v>
      </c>
      <c r="F46" s="27">
        <f>'District_PGI-D_600'!K89</f>
        <v>32.56</v>
      </c>
      <c r="G46" s="27">
        <f>'District_PGI-D_600'!L89</f>
        <v>30.529999999999994</v>
      </c>
      <c r="H46" s="27">
        <f>'District_PGI-D_600'!M89</f>
        <v>34.369999999999997</v>
      </c>
      <c r="I46" s="27">
        <f>'District_PGI-D_600'!N89</f>
        <v>35.01</v>
      </c>
      <c r="J46" s="27">
        <f>'District_PGI-D_600'!O89</f>
        <v>30.040000000000003</v>
      </c>
      <c r="K46" s="27">
        <f>'District_PGI-D_600'!P89</f>
        <v>29.27</v>
      </c>
      <c r="L46" s="27">
        <f>'District_PGI-D_600'!Q89</f>
        <v>26.39</v>
      </c>
      <c r="M46" s="27">
        <f>'District_PGI-D_600'!R89</f>
        <v>32.22</v>
      </c>
      <c r="N46" s="27">
        <f>'District_PGI-D_600'!S89</f>
        <v>32.980000000000004</v>
      </c>
      <c r="O46" s="27">
        <f>'District_PGI-D_600'!T89</f>
        <v>32.099999999999994</v>
      </c>
      <c r="P46" s="27">
        <f>'District_PGI-D_600'!U89</f>
        <v>31.740000000000002</v>
      </c>
      <c r="Q46" s="27">
        <f>'District_PGI-D_600'!V89</f>
        <v>30.479999999999997</v>
      </c>
      <c r="R46" s="27">
        <f>'District_PGI-D_600'!W89</f>
        <v>32.68</v>
      </c>
      <c r="S46" s="27">
        <f>'District_PGI-D_600'!X89</f>
        <v>33.599999999999994</v>
      </c>
      <c r="T46" s="27">
        <f>'District_PGI-D_600'!Y89</f>
        <v>28.78</v>
      </c>
      <c r="U46" s="27">
        <f>'District_PGI-D_600'!Z89</f>
        <v>33.69</v>
      </c>
      <c r="V46" s="27">
        <f>'District_PGI-D_600'!AA89</f>
        <v>32.049999999999997</v>
      </c>
      <c r="W46" s="27">
        <f>'District_PGI-D_600'!AB89</f>
        <v>29.549999999999997</v>
      </c>
      <c r="X46" s="27">
        <f>'District_PGI-D_600'!AC89</f>
        <v>32.409999999999997</v>
      </c>
      <c r="Y46" s="27">
        <f>'District_PGI-D_600'!AD89</f>
        <v>30.650000000000002</v>
      </c>
      <c r="Z46" s="27">
        <f>'District_PGI-D_600'!AE89</f>
        <v>32.33</v>
      </c>
      <c r="AA46" s="27">
        <f>'District_PGI-D_600'!AF89</f>
        <v>32.25</v>
      </c>
      <c r="AB46" s="27">
        <f>'District_PGI-D_600'!AG89</f>
        <v>32.540000000000006</v>
      </c>
      <c r="AC46" s="27">
        <f>'District_PGI-D_600'!AH89</f>
        <v>31.18</v>
      </c>
      <c r="AD46" s="27">
        <f>'District_PGI-D_600'!AI89</f>
        <v>32.44</v>
      </c>
      <c r="AE46" s="27">
        <f>'District_PGI-D_600'!AJ89</f>
        <v>34.28</v>
      </c>
      <c r="AF46" s="27">
        <f>'District_PGI-D_600'!AK89</f>
        <v>28.68</v>
      </c>
      <c r="AG46" s="27">
        <f>'District_PGI-D_600'!AL89</f>
        <v>31.770000000000003</v>
      </c>
      <c r="AH46" s="27">
        <f>'District_PGI-D_600'!AM89</f>
        <v>29.96</v>
      </c>
    </row>
    <row r="47" spans="1:34" x14ac:dyDescent="0.3">
      <c r="A47" s="10" t="s">
        <v>691</v>
      </c>
      <c r="B47" s="27">
        <f>'District_PGI-D_600'!G91</f>
        <v>42.07</v>
      </c>
      <c r="C47" s="27">
        <f>'District_PGI-D_600'!H91</f>
        <v>38.480000000000004</v>
      </c>
      <c r="D47" s="27">
        <f>'District_PGI-D_600'!I91</f>
        <v>45.72</v>
      </c>
      <c r="E47" s="27">
        <f>'District_PGI-D_600'!J91</f>
        <v>39.21</v>
      </c>
      <c r="F47" s="27">
        <f>'District_PGI-D_600'!K91</f>
        <v>43.44</v>
      </c>
      <c r="G47" s="27">
        <f>'District_PGI-D_600'!L91</f>
        <v>43.03</v>
      </c>
      <c r="H47" s="27">
        <f>'District_PGI-D_600'!M91</f>
        <v>45.349999999999994</v>
      </c>
      <c r="I47" s="27">
        <f>'District_PGI-D_600'!N91</f>
        <v>40.53</v>
      </c>
      <c r="J47" s="27">
        <f>'District_PGI-D_600'!O91</f>
        <v>41.68</v>
      </c>
      <c r="K47" s="27">
        <f>'District_PGI-D_600'!P91</f>
        <v>42.74</v>
      </c>
      <c r="L47" s="27">
        <f>'District_PGI-D_600'!Q91</f>
        <v>41.71</v>
      </c>
      <c r="M47" s="27">
        <f>'District_PGI-D_600'!R91</f>
        <v>46.04</v>
      </c>
      <c r="N47" s="27">
        <f>'District_PGI-D_600'!S91</f>
        <v>41.63</v>
      </c>
      <c r="O47" s="27">
        <f>'District_PGI-D_600'!T91</f>
        <v>46.05</v>
      </c>
      <c r="P47" s="27">
        <f>'District_PGI-D_600'!U91</f>
        <v>44.830000000000005</v>
      </c>
      <c r="Q47" s="27">
        <f>'District_PGI-D_600'!V91</f>
        <v>48.36</v>
      </c>
      <c r="R47" s="27">
        <f>'District_PGI-D_600'!W91</f>
        <v>42.84</v>
      </c>
      <c r="S47" s="27">
        <f>'District_PGI-D_600'!X91</f>
        <v>42.629999999999995</v>
      </c>
      <c r="T47" s="27">
        <f>'District_PGI-D_600'!Y91</f>
        <v>43.29</v>
      </c>
      <c r="U47" s="27">
        <f>'District_PGI-D_600'!Z91</f>
        <v>44.84</v>
      </c>
      <c r="V47" s="27">
        <f>'District_PGI-D_600'!AA91</f>
        <v>42.81</v>
      </c>
      <c r="W47" s="27">
        <f>'District_PGI-D_600'!AB91</f>
        <v>43.16</v>
      </c>
      <c r="X47" s="27">
        <f>'District_PGI-D_600'!AC91</f>
        <v>46.910000000000004</v>
      </c>
      <c r="Y47" s="27">
        <f>'District_PGI-D_600'!AD91</f>
        <v>41.849999999999994</v>
      </c>
      <c r="Z47" s="27">
        <f>'District_PGI-D_600'!AE91</f>
        <v>41.41</v>
      </c>
      <c r="AA47" s="27">
        <f>'District_PGI-D_600'!AF91</f>
        <v>45.17</v>
      </c>
      <c r="AB47" s="27">
        <f>'District_PGI-D_600'!AG91</f>
        <v>42.39</v>
      </c>
      <c r="AC47" s="27">
        <f>'District_PGI-D_600'!AH91</f>
        <v>40.47</v>
      </c>
      <c r="AD47" s="27">
        <f>'District_PGI-D_600'!AI91</f>
        <v>44.12</v>
      </c>
      <c r="AE47" s="27">
        <f>'District_PGI-D_600'!AJ91</f>
        <v>44.32</v>
      </c>
      <c r="AF47" s="27">
        <f>'District_PGI-D_600'!AK91</f>
        <v>47.320000000000007</v>
      </c>
      <c r="AG47" s="27">
        <f>'District_PGI-D_600'!AL91</f>
        <v>45.029999999999994</v>
      </c>
      <c r="AH47" s="27">
        <f>'District_PGI-D_600'!AM91</f>
        <v>43.25</v>
      </c>
    </row>
    <row r="49" spans="1:34" ht="15.6" x14ac:dyDescent="0.3">
      <c r="A49" s="35" t="s">
        <v>692</v>
      </c>
    </row>
    <row r="50" spans="1:34" ht="24" x14ac:dyDescent="0.3">
      <c r="A50" s="69" t="s">
        <v>693</v>
      </c>
      <c r="B50" s="69" t="str">
        <f>Districts_Setup!$B$4</f>
        <v>Ahmedabad</v>
      </c>
      <c r="C50" s="69" t="str">
        <f>Districts_Setup!$B$5</f>
        <v>Amreli</v>
      </c>
      <c r="D50" s="69" t="str">
        <f>Districts_Setup!$B$6</f>
        <v>Anand</v>
      </c>
      <c r="E50" s="69" t="str">
        <f>Districts_Setup!$B$7</f>
        <v>Aravalli</v>
      </c>
      <c r="F50" s="69" t="str">
        <f>Districts_Setup!$B$8</f>
        <v>Banaskantha</v>
      </c>
      <c r="G50" s="69" t="str">
        <f>Districts_Setup!$B$9</f>
        <v>Bharuch</v>
      </c>
      <c r="H50" s="69" t="str">
        <f>Districts_Setup!$B$10</f>
        <v>Bhavnagar</v>
      </c>
      <c r="I50" s="69" t="str">
        <f>Districts_Setup!$B$11</f>
        <v>Botad</v>
      </c>
      <c r="J50" s="69" t="str">
        <f>Districts_Setup!$B$12</f>
        <v>Chhota Udepur</v>
      </c>
      <c r="K50" s="69" t="str">
        <f>Districts_Setup!$B$13</f>
        <v>Dahod</v>
      </c>
      <c r="L50" s="69" t="str">
        <f>Districts_Setup!$B$14</f>
        <v>Dang</v>
      </c>
      <c r="M50" s="69" t="str">
        <f>Districts_Setup!$B$15</f>
        <v>Devbhoomi Dwarka</v>
      </c>
      <c r="N50" s="69" t="str">
        <f>Districts_Setup!$B$16</f>
        <v>Gandhinagar</v>
      </c>
      <c r="O50" s="69" t="str">
        <f>Districts_Setup!$B$17</f>
        <v>Gir Somnath</v>
      </c>
      <c r="P50" s="69" t="str">
        <f>Districts_Setup!$B$18</f>
        <v>Jamnagar</v>
      </c>
      <c r="Q50" s="69" t="str">
        <f>Districts_Setup!$B$19</f>
        <v>Junagadh</v>
      </c>
      <c r="R50" s="69" t="str">
        <f>Districts_Setup!$B$20</f>
        <v>Kutch</v>
      </c>
      <c r="S50" s="69" t="str">
        <f>Districts_Setup!$B$21</f>
        <v>Kheda</v>
      </c>
      <c r="T50" s="69" t="str">
        <f>Districts_Setup!$B$22</f>
        <v>Mahisagar</v>
      </c>
      <c r="U50" s="69" t="str">
        <f>Districts_Setup!$B$23</f>
        <v>Mehsana</v>
      </c>
      <c r="V50" s="69" t="str">
        <f>Districts_Setup!$B$24</f>
        <v>Morbi</v>
      </c>
      <c r="W50" s="69" t="str">
        <f>Districts_Setup!$B$25</f>
        <v>Narmada</v>
      </c>
      <c r="X50" s="69" t="str">
        <f>Districts_Setup!$B$26</f>
        <v>Navsari</v>
      </c>
      <c r="Y50" s="69" t="str">
        <f>Districts_Setup!$B$27</f>
        <v>Panchmahal</v>
      </c>
      <c r="Z50" s="69" t="str">
        <f>Districts_Setup!$B$28</f>
        <v>Patan</v>
      </c>
      <c r="AA50" s="69" t="str">
        <f>Districts_Setup!$B$29</f>
        <v>Porbandar</v>
      </c>
      <c r="AB50" s="69" t="str">
        <f>Districts_Setup!$B$30</f>
        <v>Rajkot</v>
      </c>
      <c r="AC50" s="69" t="str">
        <f>Districts_Setup!$B$31</f>
        <v>Sabarkantha</v>
      </c>
      <c r="AD50" s="69" t="str">
        <f>Districts_Setup!$B$32</f>
        <v>Surat</v>
      </c>
      <c r="AE50" s="69" t="str">
        <f>Districts_Setup!$B$33</f>
        <v>Surendranagar</v>
      </c>
      <c r="AF50" s="69" t="str">
        <f>Districts_Setup!$B$34</f>
        <v>Tapi</v>
      </c>
      <c r="AG50" s="69" t="str">
        <f>Districts_Setup!$B$35</f>
        <v>Vadodara</v>
      </c>
      <c r="AH50" s="69" t="str">
        <f>Districts_Setup!$B$36</f>
        <v>Valsad</v>
      </c>
    </row>
    <row r="51" spans="1:34" x14ac:dyDescent="0.3">
      <c r="A51" s="9" t="s">
        <v>620</v>
      </c>
      <c r="B51" s="27">
        <f>'District_PGI-D_600'!G4</f>
        <v>10.4</v>
      </c>
      <c r="C51" s="27">
        <f>'District_PGI-D_600'!H4</f>
        <v>8.4700000000000006</v>
      </c>
      <c r="D51" s="27">
        <f>'District_PGI-D_600'!I4</f>
        <v>9.7200000000000006</v>
      </c>
      <c r="E51" s="27">
        <f>'District_PGI-D_600'!J4</f>
        <v>7.72</v>
      </c>
      <c r="F51" s="27">
        <f>'District_PGI-D_600'!K4</f>
        <v>8.18</v>
      </c>
      <c r="G51" s="27">
        <f>'District_PGI-D_600'!L4</f>
        <v>9.6199999999999992</v>
      </c>
      <c r="H51" s="27">
        <f>'District_PGI-D_600'!M4</f>
        <v>11.55</v>
      </c>
      <c r="I51" s="27">
        <f>'District_PGI-D_600'!N4</f>
        <v>9.76</v>
      </c>
      <c r="J51" s="27">
        <f>'District_PGI-D_600'!O4</f>
        <v>7.8</v>
      </c>
      <c r="K51" s="27">
        <f>'District_PGI-D_600'!P4</f>
        <v>10.56</v>
      </c>
      <c r="L51" s="27">
        <f>'District_PGI-D_600'!Q4</f>
        <v>10.69</v>
      </c>
      <c r="M51" s="27">
        <f>'District_PGI-D_600'!R4</f>
        <v>8.8800000000000008</v>
      </c>
      <c r="N51" s="27">
        <f>'District_PGI-D_600'!S4</f>
        <v>11.65</v>
      </c>
      <c r="O51" s="27">
        <f>'District_PGI-D_600'!T4</f>
        <v>6.39</v>
      </c>
      <c r="P51" s="27">
        <f>'District_PGI-D_600'!U4</f>
        <v>5.78</v>
      </c>
      <c r="Q51" s="27">
        <f>'District_PGI-D_600'!V4</f>
        <v>8.91</v>
      </c>
      <c r="R51" s="27">
        <f>'District_PGI-D_600'!W4</f>
        <v>7.62</v>
      </c>
      <c r="S51" s="27">
        <f>'District_PGI-D_600'!X4</f>
        <v>7.85</v>
      </c>
      <c r="T51" s="27">
        <f>'District_PGI-D_600'!Y4</f>
        <v>10.26</v>
      </c>
      <c r="U51" s="27">
        <f>'District_PGI-D_600'!Z4</f>
        <v>9.67</v>
      </c>
      <c r="V51" s="27">
        <f>'District_PGI-D_600'!AA4</f>
        <v>9.8699999999999992</v>
      </c>
      <c r="W51" s="27">
        <f>'District_PGI-D_600'!AB4</f>
        <v>10.01</v>
      </c>
      <c r="X51" s="27">
        <f>'District_PGI-D_600'!AC4</f>
        <v>8.8699999999999992</v>
      </c>
      <c r="Y51" s="27">
        <f>'District_PGI-D_600'!AD4</f>
        <v>10.44</v>
      </c>
      <c r="Z51" s="27">
        <f>'District_PGI-D_600'!AE4</f>
        <v>7.87</v>
      </c>
      <c r="AA51" s="27">
        <f>'District_PGI-D_600'!AF4</f>
        <v>6.99</v>
      </c>
      <c r="AB51" s="27">
        <f>'District_PGI-D_600'!AG4</f>
        <v>9.2899999999999991</v>
      </c>
      <c r="AC51" s="27">
        <f>'District_PGI-D_600'!AH4</f>
        <v>11.75</v>
      </c>
      <c r="AD51" s="27">
        <f>'District_PGI-D_600'!AI4</f>
        <v>8.85</v>
      </c>
      <c r="AE51" s="27">
        <f>'District_PGI-D_600'!AJ4</f>
        <v>10.61</v>
      </c>
      <c r="AF51" s="27">
        <f>'District_PGI-D_600'!AK4</f>
        <v>10.88</v>
      </c>
      <c r="AG51" s="27">
        <f>'District_PGI-D_600'!AL4</f>
        <v>7.65</v>
      </c>
      <c r="AH51" s="27">
        <f>'District_PGI-D_600'!AM4</f>
        <v>9.77</v>
      </c>
    </row>
    <row r="52" spans="1:34" x14ac:dyDescent="0.3">
      <c r="A52" s="9" t="s">
        <v>621</v>
      </c>
      <c r="B52" s="27">
        <f>'District_PGI-D_600'!G5</f>
        <v>9.1199999999999992</v>
      </c>
      <c r="C52" s="27">
        <f>'District_PGI-D_600'!H5</f>
        <v>7.04</v>
      </c>
      <c r="D52" s="27">
        <f>'District_PGI-D_600'!I5</f>
        <v>7.62</v>
      </c>
      <c r="E52" s="27">
        <f>'District_PGI-D_600'!J5</f>
        <v>6.16</v>
      </c>
      <c r="F52" s="27">
        <f>'District_PGI-D_600'!K5</f>
        <v>6.44</v>
      </c>
      <c r="G52" s="27">
        <f>'District_PGI-D_600'!L5</f>
        <v>8</v>
      </c>
      <c r="H52" s="27">
        <f>'District_PGI-D_600'!M5</f>
        <v>10.07</v>
      </c>
      <c r="I52" s="27">
        <f>'District_PGI-D_600'!N5</f>
        <v>7.71</v>
      </c>
      <c r="J52" s="27">
        <f>'District_PGI-D_600'!O5</f>
        <v>6.51</v>
      </c>
      <c r="K52" s="27">
        <f>'District_PGI-D_600'!P5</f>
        <v>9.14</v>
      </c>
      <c r="L52" s="27">
        <f>'District_PGI-D_600'!Q5</f>
        <v>9.18</v>
      </c>
      <c r="M52" s="27">
        <f>'District_PGI-D_600'!R5</f>
        <v>7.38</v>
      </c>
      <c r="N52" s="27">
        <f>'District_PGI-D_600'!S5</f>
        <v>10.44</v>
      </c>
      <c r="O52" s="27">
        <f>'District_PGI-D_600'!T5</f>
        <v>5.24</v>
      </c>
      <c r="P52" s="27">
        <f>'District_PGI-D_600'!U5</f>
        <v>4.26</v>
      </c>
      <c r="Q52" s="27">
        <f>'District_PGI-D_600'!V5</f>
        <v>6.67</v>
      </c>
      <c r="R52" s="27">
        <f>'District_PGI-D_600'!W5</f>
        <v>6.12</v>
      </c>
      <c r="S52" s="27">
        <f>'District_PGI-D_600'!X5</f>
        <v>6.14</v>
      </c>
      <c r="T52" s="27">
        <f>'District_PGI-D_600'!Y5</f>
        <v>8.23</v>
      </c>
      <c r="U52" s="27">
        <f>'District_PGI-D_600'!Z5</f>
        <v>8.07</v>
      </c>
      <c r="V52" s="27">
        <f>'District_PGI-D_600'!AA5</f>
        <v>7.88</v>
      </c>
      <c r="W52" s="27">
        <f>'District_PGI-D_600'!AB5</f>
        <v>8.4600000000000009</v>
      </c>
      <c r="X52" s="27">
        <f>'District_PGI-D_600'!AC5</f>
        <v>6.97</v>
      </c>
      <c r="Y52" s="27">
        <f>'District_PGI-D_600'!AD5</f>
        <v>9</v>
      </c>
      <c r="Z52" s="27">
        <f>'District_PGI-D_600'!AE5</f>
        <v>6.23</v>
      </c>
      <c r="AA52" s="27">
        <f>'District_PGI-D_600'!AF5</f>
        <v>5.39</v>
      </c>
      <c r="AB52" s="27">
        <f>'District_PGI-D_600'!AG5</f>
        <v>7.56</v>
      </c>
      <c r="AC52" s="27">
        <f>'District_PGI-D_600'!AH5</f>
        <v>10.74</v>
      </c>
      <c r="AD52" s="27">
        <f>'District_PGI-D_600'!AI5</f>
        <v>6.87</v>
      </c>
      <c r="AE52" s="27">
        <f>'District_PGI-D_600'!AJ5</f>
        <v>8.7100000000000009</v>
      </c>
      <c r="AF52" s="27">
        <f>'District_PGI-D_600'!AK5</f>
        <v>9.4499999999999993</v>
      </c>
      <c r="AG52" s="27">
        <f>'District_PGI-D_600'!AL5</f>
        <v>5.9</v>
      </c>
      <c r="AH52" s="27">
        <f>'District_PGI-D_600'!AM5</f>
        <v>8.3800000000000008</v>
      </c>
    </row>
    <row r="53" spans="1:34" x14ac:dyDescent="0.3">
      <c r="A53" s="9" t="s">
        <v>622</v>
      </c>
      <c r="B53" s="27">
        <f>'District_PGI-D_600'!G6</f>
        <v>4.3</v>
      </c>
      <c r="C53" s="27">
        <f>'District_PGI-D_600'!H6</f>
        <v>3.34</v>
      </c>
      <c r="D53" s="27">
        <f>'District_PGI-D_600'!I6</f>
        <v>4.8899999999999997</v>
      </c>
      <c r="E53" s="27">
        <f>'District_PGI-D_600'!J6</f>
        <v>3.52</v>
      </c>
      <c r="F53" s="27">
        <f>'District_PGI-D_600'!K6</f>
        <v>4.29</v>
      </c>
      <c r="G53" s="27">
        <f>'District_PGI-D_600'!L6</f>
        <v>2.71</v>
      </c>
      <c r="H53" s="27">
        <f>'District_PGI-D_600'!M6</f>
        <v>4.55</v>
      </c>
      <c r="I53" s="27">
        <f>'District_PGI-D_600'!N6</f>
        <v>3.31</v>
      </c>
      <c r="J53" s="27">
        <f>'District_PGI-D_600'!O6</f>
        <v>2.94</v>
      </c>
      <c r="K53" s="27">
        <f>'District_PGI-D_600'!P6</f>
        <v>4.45</v>
      </c>
      <c r="L53" s="27">
        <f>'District_PGI-D_600'!Q6</f>
        <v>5.34</v>
      </c>
      <c r="M53" s="27">
        <f>'District_PGI-D_600'!R6</f>
        <v>5.61</v>
      </c>
      <c r="N53" s="27">
        <f>'District_PGI-D_600'!S6</f>
        <v>5.2</v>
      </c>
      <c r="O53" s="27">
        <f>'District_PGI-D_600'!T6</f>
        <v>3</v>
      </c>
      <c r="P53" s="27">
        <f>'District_PGI-D_600'!U6</f>
        <v>4.03</v>
      </c>
      <c r="Q53" s="27">
        <f>'District_PGI-D_600'!V6</f>
        <v>5.17</v>
      </c>
      <c r="R53" s="27">
        <f>'District_PGI-D_600'!W6</f>
        <v>4.6100000000000003</v>
      </c>
      <c r="S53" s="27">
        <f>'District_PGI-D_600'!X6</f>
        <v>3.32</v>
      </c>
      <c r="T53" s="27">
        <f>'District_PGI-D_600'!Y6</f>
        <v>3.55</v>
      </c>
      <c r="U53" s="27">
        <f>'District_PGI-D_600'!Z6</f>
        <v>4.62</v>
      </c>
      <c r="V53" s="27">
        <f>'District_PGI-D_600'!AA6</f>
        <v>3.96</v>
      </c>
      <c r="W53" s="27">
        <f>'District_PGI-D_600'!AB6</f>
        <v>3.51</v>
      </c>
      <c r="X53" s="27">
        <f>'District_PGI-D_600'!AC6</f>
        <v>4.04</v>
      </c>
      <c r="Y53" s="27">
        <f>'District_PGI-D_600'!AD6</f>
        <v>4.6399999999999997</v>
      </c>
      <c r="Z53" s="27">
        <f>'District_PGI-D_600'!AE6</f>
        <v>4.6399999999999997</v>
      </c>
      <c r="AA53" s="27">
        <f>'District_PGI-D_600'!AF6</f>
        <v>4.21</v>
      </c>
      <c r="AB53" s="27">
        <f>'District_PGI-D_600'!AG6</f>
        <v>4.04</v>
      </c>
      <c r="AC53" s="27">
        <f>'District_PGI-D_600'!AH6</f>
        <v>3.84</v>
      </c>
      <c r="AD53" s="27">
        <f>'District_PGI-D_600'!AI6</f>
        <v>5.18</v>
      </c>
      <c r="AE53" s="27">
        <f>'District_PGI-D_600'!AJ6</f>
        <v>5.31</v>
      </c>
      <c r="AF53" s="27">
        <f>'District_PGI-D_600'!AK6</f>
        <v>4.9400000000000004</v>
      </c>
      <c r="AG53" s="27">
        <f>'District_PGI-D_600'!AL6</f>
        <v>5.13</v>
      </c>
      <c r="AH53" s="27">
        <f>'District_PGI-D_600'!AM6</f>
        <v>4.28</v>
      </c>
    </row>
    <row r="54" spans="1:34" x14ac:dyDescent="0.3">
      <c r="A54" s="9" t="s">
        <v>623</v>
      </c>
      <c r="B54" s="27">
        <f>'District_PGI-D_600'!G7</f>
        <v>4.79</v>
      </c>
      <c r="C54" s="27">
        <f>'District_PGI-D_600'!H7</f>
        <v>2.72</v>
      </c>
      <c r="D54" s="27">
        <f>'District_PGI-D_600'!I7</f>
        <v>4.82</v>
      </c>
      <c r="E54" s="27">
        <f>'District_PGI-D_600'!J7</f>
        <v>3.54</v>
      </c>
      <c r="F54" s="27">
        <f>'District_PGI-D_600'!K7</f>
        <v>4.59</v>
      </c>
      <c r="G54" s="27">
        <f>'District_PGI-D_600'!L7</f>
        <v>2.88</v>
      </c>
      <c r="H54" s="27">
        <f>'District_PGI-D_600'!M7</f>
        <v>4.05</v>
      </c>
      <c r="I54" s="27">
        <f>'District_PGI-D_600'!N7</f>
        <v>3.55</v>
      </c>
      <c r="J54" s="27">
        <f>'District_PGI-D_600'!O7</f>
        <v>2.48</v>
      </c>
      <c r="K54" s="27">
        <f>'District_PGI-D_600'!P7</f>
        <v>5.54</v>
      </c>
      <c r="L54" s="27">
        <f>'District_PGI-D_600'!Q7</f>
        <v>3.31</v>
      </c>
      <c r="M54" s="27">
        <f>'District_PGI-D_600'!R7</f>
        <v>5.29</v>
      </c>
      <c r="N54" s="27">
        <f>'District_PGI-D_600'!S7</f>
        <v>5.65</v>
      </c>
      <c r="O54" s="27">
        <f>'District_PGI-D_600'!T7</f>
        <v>4.5199999999999996</v>
      </c>
      <c r="P54" s="27">
        <f>'District_PGI-D_600'!U7</f>
        <v>4.32</v>
      </c>
      <c r="Q54" s="27">
        <f>'District_PGI-D_600'!V7</f>
        <v>5.79</v>
      </c>
      <c r="R54" s="27">
        <f>'District_PGI-D_600'!W7</f>
        <v>4.54</v>
      </c>
      <c r="S54" s="27">
        <f>'District_PGI-D_600'!X7</f>
        <v>2.84</v>
      </c>
      <c r="T54" s="27">
        <f>'District_PGI-D_600'!Y7</f>
        <v>5.03</v>
      </c>
      <c r="U54" s="27">
        <f>'District_PGI-D_600'!Z7</f>
        <v>5.21</v>
      </c>
      <c r="V54" s="27">
        <f>'District_PGI-D_600'!AA7</f>
        <v>4.8099999999999996</v>
      </c>
      <c r="W54" s="27">
        <f>'District_PGI-D_600'!AB7</f>
        <v>3.76</v>
      </c>
      <c r="X54" s="27">
        <f>'District_PGI-D_600'!AC7</f>
        <v>3.95</v>
      </c>
      <c r="Y54" s="27">
        <f>'District_PGI-D_600'!AD7</f>
        <v>5.36</v>
      </c>
      <c r="Z54" s="27">
        <f>'District_PGI-D_600'!AE7</f>
        <v>4.8099999999999996</v>
      </c>
      <c r="AA54" s="27">
        <f>'District_PGI-D_600'!AF7</f>
        <v>3.47</v>
      </c>
      <c r="AB54" s="27">
        <f>'District_PGI-D_600'!AG7</f>
        <v>4.84</v>
      </c>
      <c r="AC54" s="27">
        <f>'District_PGI-D_600'!AH7</f>
        <v>4.43</v>
      </c>
      <c r="AD54" s="27">
        <f>'District_PGI-D_600'!AI7</f>
        <v>5.53</v>
      </c>
      <c r="AE54" s="27">
        <f>'District_PGI-D_600'!AJ7</f>
        <v>5.92</v>
      </c>
      <c r="AF54" s="27">
        <f>'District_PGI-D_600'!AK7</f>
        <v>5.08</v>
      </c>
      <c r="AG54" s="27">
        <f>'District_PGI-D_600'!AL7</f>
        <v>5.24</v>
      </c>
      <c r="AH54" s="27">
        <f>'District_PGI-D_600'!AM7</f>
        <v>4.22</v>
      </c>
    </row>
    <row r="55" spans="1:34" x14ac:dyDescent="0.3">
      <c r="A55" s="9" t="s">
        <v>624</v>
      </c>
      <c r="B55" s="27">
        <f>'District_PGI-D_600'!G8</f>
        <v>5.53</v>
      </c>
      <c r="C55" s="27">
        <f>'District_PGI-D_600'!H8</f>
        <v>3.92</v>
      </c>
      <c r="D55" s="27">
        <f>'District_PGI-D_600'!I8</f>
        <v>5.64</v>
      </c>
      <c r="E55" s="27">
        <f>'District_PGI-D_600'!J8</f>
        <v>4.3099999999999996</v>
      </c>
      <c r="F55" s="27">
        <f>'District_PGI-D_600'!K8</f>
        <v>5.18</v>
      </c>
      <c r="G55" s="27">
        <f>'District_PGI-D_600'!L8</f>
        <v>3.49</v>
      </c>
      <c r="H55" s="27">
        <f>'District_PGI-D_600'!M8</f>
        <v>5.43</v>
      </c>
      <c r="I55" s="27">
        <f>'District_PGI-D_600'!N8</f>
        <v>4</v>
      </c>
      <c r="J55" s="27">
        <f>'District_PGI-D_600'!O8</f>
        <v>3.72</v>
      </c>
      <c r="K55" s="27">
        <f>'District_PGI-D_600'!P8</f>
        <v>5.63</v>
      </c>
      <c r="L55" s="27">
        <f>'District_PGI-D_600'!Q8</f>
        <v>6.07</v>
      </c>
      <c r="M55" s="27">
        <f>'District_PGI-D_600'!R8</f>
        <v>6.16</v>
      </c>
      <c r="N55" s="27">
        <f>'District_PGI-D_600'!S8</f>
        <v>6.47</v>
      </c>
      <c r="O55" s="27">
        <f>'District_PGI-D_600'!T8</f>
        <v>3.82</v>
      </c>
      <c r="P55" s="27">
        <f>'District_PGI-D_600'!U8</f>
        <v>5.25</v>
      </c>
      <c r="Q55" s="27">
        <f>'District_PGI-D_600'!V8</f>
        <v>5.97</v>
      </c>
      <c r="R55" s="27">
        <f>'District_PGI-D_600'!W8</f>
        <v>5.2</v>
      </c>
      <c r="S55" s="27">
        <f>'District_PGI-D_600'!X8</f>
        <v>4.34</v>
      </c>
      <c r="T55" s="27">
        <f>'District_PGI-D_600'!Y8</f>
        <v>4.76</v>
      </c>
      <c r="U55" s="27">
        <f>'District_PGI-D_600'!Z8</f>
        <v>5.55</v>
      </c>
      <c r="V55" s="27">
        <f>'District_PGI-D_600'!AA8</f>
        <v>4.8499999999999996</v>
      </c>
      <c r="W55" s="27">
        <f>'District_PGI-D_600'!AB8</f>
        <v>4.3899999999999997</v>
      </c>
      <c r="X55" s="27">
        <f>'District_PGI-D_600'!AC8</f>
        <v>5.12</v>
      </c>
      <c r="Y55" s="27">
        <f>'District_PGI-D_600'!AD8</f>
        <v>5.63</v>
      </c>
      <c r="Z55" s="27">
        <f>'District_PGI-D_600'!AE8</f>
        <v>5.58</v>
      </c>
      <c r="AA55" s="27">
        <f>'District_PGI-D_600'!AF8</f>
        <v>5.15</v>
      </c>
      <c r="AB55" s="27">
        <f>'District_PGI-D_600'!AG8</f>
        <v>5.0599999999999996</v>
      </c>
      <c r="AC55" s="27">
        <f>'District_PGI-D_600'!AH8</f>
        <v>4.8600000000000003</v>
      </c>
      <c r="AD55" s="27">
        <f>'District_PGI-D_600'!AI8</f>
        <v>6.01</v>
      </c>
      <c r="AE55" s="27">
        <f>'District_PGI-D_600'!AJ8</f>
        <v>6.49</v>
      </c>
      <c r="AF55" s="27">
        <f>'District_PGI-D_600'!AK8</f>
        <v>6.36</v>
      </c>
      <c r="AG55" s="27">
        <f>'District_PGI-D_600'!AL8</f>
        <v>5.87</v>
      </c>
      <c r="AH55" s="27">
        <f>'District_PGI-D_600'!AM8</f>
        <v>4.7699999999999996</v>
      </c>
    </row>
    <row r="56" spans="1:34" x14ac:dyDescent="0.3">
      <c r="A56" s="9" t="s">
        <v>625</v>
      </c>
      <c r="B56" s="27">
        <f>'District_PGI-D_600'!G9</f>
        <v>4.2699999999999996</v>
      </c>
      <c r="C56" s="27">
        <f>'District_PGI-D_600'!H9</f>
        <v>3.86</v>
      </c>
      <c r="D56" s="27">
        <f>'District_PGI-D_600'!I9</f>
        <v>4.26</v>
      </c>
      <c r="E56" s="27">
        <f>'District_PGI-D_600'!J9</f>
        <v>3.23</v>
      </c>
      <c r="F56" s="27">
        <f>'District_PGI-D_600'!K9</f>
        <v>4.3600000000000003</v>
      </c>
      <c r="G56" s="27">
        <f>'District_PGI-D_600'!L9</f>
        <v>4.8</v>
      </c>
      <c r="H56" s="27">
        <f>'District_PGI-D_600'!M9</f>
        <v>5.64</v>
      </c>
      <c r="I56" s="27">
        <f>'District_PGI-D_600'!N9</f>
        <v>3.55</v>
      </c>
      <c r="J56" s="27">
        <f>'District_PGI-D_600'!O9</f>
        <v>2.72</v>
      </c>
      <c r="K56" s="27">
        <f>'District_PGI-D_600'!P9</f>
        <v>1.88</v>
      </c>
      <c r="L56" s="27">
        <f>'District_PGI-D_600'!Q9</f>
        <v>2.79</v>
      </c>
      <c r="M56" s="27">
        <f>'District_PGI-D_600'!R9</f>
        <v>5.93</v>
      </c>
      <c r="N56" s="27">
        <f>'District_PGI-D_600'!S9</f>
        <v>7.67</v>
      </c>
      <c r="O56" s="27">
        <f>'District_PGI-D_600'!T9</f>
        <v>3.55</v>
      </c>
      <c r="P56" s="27">
        <f>'District_PGI-D_600'!U9</f>
        <v>5.54</v>
      </c>
      <c r="Q56" s="27">
        <f>'District_PGI-D_600'!V9</f>
        <v>5.0999999999999996</v>
      </c>
      <c r="R56" s="27">
        <f>'District_PGI-D_600'!W9</f>
        <v>5.88</v>
      </c>
      <c r="S56" s="27">
        <f>'District_PGI-D_600'!X9</f>
        <v>3.39</v>
      </c>
      <c r="T56" s="27">
        <f>'District_PGI-D_600'!Y9</f>
        <v>3.25</v>
      </c>
      <c r="U56" s="27">
        <f>'District_PGI-D_600'!Z9</f>
        <v>4.51</v>
      </c>
      <c r="V56" s="27">
        <f>'District_PGI-D_600'!AA9</f>
        <v>4.08</v>
      </c>
      <c r="W56" s="27">
        <f>'District_PGI-D_600'!AB9</f>
        <v>4.3600000000000003</v>
      </c>
      <c r="X56" s="27">
        <f>'District_PGI-D_600'!AC9</f>
        <v>6.07</v>
      </c>
      <c r="Y56" s="27">
        <f>'District_PGI-D_600'!AD9</f>
        <v>3.13</v>
      </c>
      <c r="Z56" s="27">
        <f>'District_PGI-D_600'!AE9</f>
        <v>4.37</v>
      </c>
      <c r="AA56" s="27">
        <f>'District_PGI-D_600'!AF9</f>
        <v>4.25</v>
      </c>
      <c r="AB56" s="27">
        <f>'District_PGI-D_600'!AG9</f>
        <v>5.96</v>
      </c>
      <c r="AC56" s="27">
        <f>'District_PGI-D_600'!AH9</f>
        <v>4.33</v>
      </c>
      <c r="AD56" s="27">
        <f>'District_PGI-D_600'!AI9</f>
        <v>6.49</v>
      </c>
      <c r="AE56" s="27">
        <f>'District_PGI-D_600'!AJ9</f>
        <v>3.58</v>
      </c>
      <c r="AF56" s="27">
        <f>'District_PGI-D_600'!AK9</f>
        <v>5.37</v>
      </c>
      <c r="AG56" s="27">
        <f>'District_PGI-D_600'!AL9</f>
        <v>6.86</v>
      </c>
      <c r="AH56" s="27">
        <f>'District_PGI-D_600'!AM9</f>
        <v>5.37</v>
      </c>
    </row>
    <row r="57" spans="1:34" x14ac:dyDescent="0.3">
      <c r="A57" s="9" t="s">
        <v>626</v>
      </c>
      <c r="B57" s="27">
        <f>'District_PGI-D_600'!G10</f>
        <v>0.91</v>
      </c>
      <c r="C57" s="27">
        <f>'District_PGI-D_600'!H10</f>
        <v>0.23</v>
      </c>
      <c r="D57" s="27">
        <f>'District_PGI-D_600'!I10</f>
        <v>0.34</v>
      </c>
      <c r="E57" s="27">
        <f>'District_PGI-D_600'!J10</f>
        <v>0.22</v>
      </c>
      <c r="F57" s="27">
        <f>'District_PGI-D_600'!K10</f>
        <v>0.35</v>
      </c>
      <c r="G57" s="27">
        <f>'District_PGI-D_600'!L10</f>
        <v>0.93</v>
      </c>
      <c r="H57" s="27">
        <f>'District_PGI-D_600'!M10</f>
        <v>0.3</v>
      </c>
      <c r="I57" s="27">
        <f>'District_PGI-D_600'!N10</f>
        <v>0.11</v>
      </c>
      <c r="J57" s="27">
        <f>'District_PGI-D_600'!O10</f>
        <v>0.14000000000000001</v>
      </c>
      <c r="K57" s="27">
        <f>'District_PGI-D_600'!P10</f>
        <v>0.32</v>
      </c>
      <c r="L57" s="27">
        <f>'District_PGI-D_600'!Q10</f>
        <v>0.03</v>
      </c>
      <c r="M57" s="27">
        <f>'District_PGI-D_600'!R10</f>
        <v>0.34</v>
      </c>
      <c r="N57" s="27">
        <f>'District_PGI-D_600'!S10</f>
        <v>1.39</v>
      </c>
      <c r="O57" s="27">
        <f>'District_PGI-D_600'!T10</f>
        <v>0.47</v>
      </c>
      <c r="P57" s="27">
        <f>'District_PGI-D_600'!U10</f>
        <v>0.77</v>
      </c>
      <c r="Q57" s="27">
        <f>'District_PGI-D_600'!V10</f>
        <v>0.41</v>
      </c>
      <c r="R57" s="27">
        <f>'District_PGI-D_600'!W10</f>
        <v>0.99</v>
      </c>
      <c r="S57" s="27">
        <f>'District_PGI-D_600'!X10</f>
        <v>0.31</v>
      </c>
      <c r="T57" s="27">
        <f>'District_PGI-D_600'!Y10</f>
        <v>0.28999999999999998</v>
      </c>
      <c r="U57" s="27">
        <f>'District_PGI-D_600'!Z10</f>
        <v>0.6</v>
      </c>
      <c r="V57" s="27">
        <f>'District_PGI-D_600'!AA10</f>
        <v>0.14000000000000001</v>
      </c>
      <c r="W57" s="27">
        <f>'District_PGI-D_600'!AB10</f>
        <v>0.15</v>
      </c>
      <c r="X57" s="27">
        <f>'District_PGI-D_600'!AC10</f>
        <v>0.71</v>
      </c>
      <c r="Y57" s="27">
        <f>'District_PGI-D_600'!AD10</f>
        <v>0.26</v>
      </c>
      <c r="Z57" s="27">
        <f>'District_PGI-D_600'!AE10</f>
        <v>0.6</v>
      </c>
      <c r="AA57" s="27">
        <f>'District_PGI-D_600'!AF10</f>
        <v>0.21</v>
      </c>
      <c r="AB57" s="27">
        <f>'District_PGI-D_600'!AG10</f>
        <v>0.83</v>
      </c>
      <c r="AC57" s="27">
        <f>'District_PGI-D_600'!AH10</f>
        <v>0.52</v>
      </c>
      <c r="AD57" s="27">
        <f>'District_PGI-D_600'!AI10</f>
        <v>1.23</v>
      </c>
      <c r="AE57" s="27">
        <f>'District_PGI-D_600'!AJ10</f>
        <v>0.34</v>
      </c>
      <c r="AF57" s="27">
        <f>'District_PGI-D_600'!AK10</f>
        <v>0.35</v>
      </c>
      <c r="AG57" s="27">
        <f>'District_PGI-D_600'!AL10</f>
        <v>1.89</v>
      </c>
      <c r="AH57" s="27">
        <f>'District_PGI-D_600'!AM10</f>
        <v>0.81</v>
      </c>
    </row>
    <row r="58" spans="1:34" x14ac:dyDescent="0.3">
      <c r="A58" s="9" t="s">
        <v>627</v>
      </c>
      <c r="B58" s="27">
        <f>'District_PGI-D_600'!G11</f>
        <v>1.82</v>
      </c>
      <c r="C58" s="27">
        <f>'District_PGI-D_600'!H11</f>
        <v>0.78</v>
      </c>
      <c r="D58" s="27">
        <f>'District_PGI-D_600'!I11</f>
        <v>1.22</v>
      </c>
      <c r="E58" s="27">
        <f>'District_PGI-D_600'!J11</f>
        <v>0.87</v>
      </c>
      <c r="F58" s="27">
        <f>'District_PGI-D_600'!K11</f>
        <v>0.96</v>
      </c>
      <c r="G58" s="27">
        <f>'District_PGI-D_600'!L11</f>
        <v>1.79</v>
      </c>
      <c r="H58" s="27">
        <f>'District_PGI-D_600'!M11</f>
        <v>1.37</v>
      </c>
      <c r="I58" s="27">
        <f>'District_PGI-D_600'!N11</f>
        <v>0.66</v>
      </c>
      <c r="J58" s="27">
        <f>'District_PGI-D_600'!O11</f>
        <v>0.47</v>
      </c>
      <c r="K58" s="27">
        <f>'District_PGI-D_600'!P11</f>
        <v>0.56999999999999995</v>
      </c>
      <c r="L58" s="27">
        <f>'District_PGI-D_600'!Q11</f>
        <v>0.3</v>
      </c>
      <c r="M58" s="27">
        <f>'District_PGI-D_600'!R11</f>
        <v>1.48</v>
      </c>
      <c r="N58" s="27">
        <f>'District_PGI-D_600'!S11</f>
        <v>3.14</v>
      </c>
      <c r="O58" s="27">
        <f>'District_PGI-D_600'!T11</f>
        <v>1.22</v>
      </c>
      <c r="P58" s="27">
        <f>'District_PGI-D_600'!U11</f>
        <v>1.9</v>
      </c>
      <c r="Q58" s="27">
        <f>'District_PGI-D_600'!V11</f>
        <v>1.49</v>
      </c>
      <c r="R58" s="27">
        <f>'District_PGI-D_600'!W11</f>
        <v>2.2999999999999998</v>
      </c>
      <c r="S58" s="27">
        <f>'District_PGI-D_600'!X11</f>
        <v>0.88</v>
      </c>
      <c r="T58" s="27">
        <f>'District_PGI-D_600'!Y11</f>
        <v>0.79</v>
      </c>
      <c r="U58" s="27">
        <f>'District_PGI-D_600'!Z11</f>
        <v>1.49</v>
      </c>
      <c r="V58" s="27">
        <f>'District_PGI-D_600'!AA11</f>
        <v>0.76</v>
      </c>
      <c r="W58" s="27">
        <f>'District_PGI-D_600'!AB11</f>
        <v>0.84</v>
      </c>
      <c r="X58" s="27">
        <f>'District_PGI-D_600'!AC11</f>
        <v>2.16</v>
      </c>
      <c r="Y58" s="27">
        <f>'District_PGI-D_600'!AD11</f>
        <v>0.81</v>
      </c>
      <c r="Z58" s="27">
        <f>'District_PGI-D_600'!AE11</f>
        <v>1.47</v>
      </c>
      <c r="AA58" s="27">
        <f>'District_PGI-D_600'!AF11</f>
        <v>0.84</v>
      </c>
      <c r="AB58" s="27">
        <f>'District_PGI-D_600'!AG11</f>
        <v>2.02</v>
      </c>
      <c r="AC58" s="27">
        <f>'District_PGI-D_600'!AH11</f>
        <v>1.25</v>
      </c>
      <c r="AD58" s="27">
        <f>'District_PGI-D_600'!AI11</f>
        <v>2.4900000000000002</v>
      </c>
      <c r="AE58" s="27">
        <f>'District_PGI-D_600'!AJ11</f>
        <v>0.96</v>
      </c>
      <c r="AF58" s="27">
        <f>'District_PGI-D_600'!AK11</f>
        <v>1.43</v>
      </c>
      <c r="AG58" s="27">
        <f>'District_PGI-D_600'!AL11</f>
        <v>3.49</v>
      </c>
      <c r="AH58" s="27">
        <f>'District_PGI-D_600'!AM11</f>
        <v>2.29</v>
      </c>
    </row>
    <row r="59" spans="1:34" x14ac:dyDescent="0.3">
      <c r="A59" s="9" t="s">
        <v>628</v>
      </c>
      <c r="B59" s="27">
        <f>'District_PGI-D_600'!G12</f>
        <v>3.33</v>
      </c>
      <c r="C59" s="27">
        <f>'District_PGI-D_600'!H12</f>
        <v>3.58</v>
      </c>
      <c r="D59" s="27">
        <f>'District_PGI-D_600'!I12</f>
        <v>3.23</v>
      </c>
      <c r="E59" s="27">
        <f>'District_PGI-D_600'!J12</f>
        <v>2.56</v>
      </c>
      <c r="F59" s="27">
        <f>'District_PGI-D_600'!K12</f>
        <v>3.46</v>
      </c>
      <c r="G59" s="27">
        <f>'District_PGI-D_600'!L12</f>
        <v>3.8</v>
      </c>
      <c r="H59" s="27">
        <f>'District_PGI-D_600'!M12</f>
        <v>4.96</v>
      </c>
      <c r="I59" s="27">
        <f>'District_PGI-D_600'!N12</f>
        <v>3.06</v>
      </c>
      <c r="J59" s="27">
        <f>'District_PGI-D_600'!O12</f>
        <v>2.4</v>
      </c>
      <c r="K59" s="27">
        <f>'District_PGI-D_600'!P12</f>
        <v>1.41</v>
      </c>
      <c r="L59" s="27">
        <f>'District_PGI-D_600'!Q12</f>
        <v>2.59</v>
      </c>
      <c r="M59" s="27">
        <f>'District_PGI-D_600'!R12</f>
        <v>4.8600000000000003</v>
      </c>
      <c r="N59" s="27">
        <f>'District_PGI-D_600'!S12</f>
        <v>6.56</v>
      </c>
      <c r="O59" s="27">
        <f>'District_PGI-D_600'!T12</f>
        <v>2.92</v>
      </c>
      <c r="P59" s="27">
        <f>'District_PGI-D_600'!U12</f>
        <v>4.67</v>
      </c>
      <c r="Q59" s="27">
        <f>'District_PGI-D_600'!V12</f>
        <v>4.54</v>
      </c>
      <c r="R59" s="27">
        <f>'District_PGI-D_600'!W12</f>
        <v>4.47</v>
      </c>
      <c r="S59" s="27">
        <f>'District_PGI-D_600'!X12</f>
        <v>2.5499999999999998</v>
      </c>
      <c r="T59" s="27">
        <f>'District_PGI-D_600'!Y12</f>
        <v>2.17</v>
      </c>
      <c r="U59" s="27">
        <f>'District_PGI-D_600'!Z12</f>
        <v>3.76</v>
      </c>
      <c r="V59" s="27">
        <f>'District_PGI-D_600'!AA12</f>
        <v>3.43</v>
      </c>
      <c r="W59" s="27">
        <f>'District_PGI-D_600'!AB12</f>
        <v>3.09</v>
      </c>
      <c r="X59" s="27">
        <f>'District_PGI-D_600'!AC12</f>
        <v>5.0599999999999996</v>
      </c>
      <c r="Y59" s="27">
        <f>'District_PGI-D_600'!AD12</f>
        <v>2.54</v>
      </c>
      <c r="Z59" s="27">
        <f>'District_PGI-D_600'!AE12</f>
        <v>3.58</v>
      </c>
      <c r="AA59" s="27">
        <f>'District_PGI-D_600'!AF12</f>
        <v>3.15</v>
      </c>
      <c r="AB59" s="27">
        <f>'District_PGI-D_600'!AG12</f>
        <v>5.09</v>
      </c>
      <c r="AC59" s="27">
        <f>'District_PGI-D_600'!AH12</f>
        <v>3.49</v>
      </c>
      <c r="AD59" s="27">
        <f>'District_PGI-D_600'!AI12</f>
        <v>5.56</v>
      </c>
      <c r="AE59" s="27">
        <f>'District_PGI-D_600'!AJ12</f>
        <v>2.93</v>
      </c>
      <c r="AF59" s="27">
        <f>'District_PGI-D_600'!AK12</f>
        <v>4.37</v>
      </c>
      <c r="AG59" s="27">
        <f>'District_PGI-D_600'!AL12</f>
        <v>5.83</v>
      </c>
      <c r="AH59" s="27">
        <f>'District_PGI-D_600'!AM12</f>
        <v>4.5999999999999996</v>
      </c>
    </row>
  </sheetData>
  <mergeCells count="2">
    <mergeCell ref="A1:AH1"/>
    <mergeCell ref="A2:AH2"/>
  </mergeCells>
  <conditionalFormatting sqref="B6:B38">
    <cfRule type="colorScale" priority="2">
      <colorScale>
        <cfvo type="min"/>
        <cfvo type="percentile" val="50"/>
        <cfvo type="max"/>
        <color rgb="FFF4CCCC"/>
        <color rgb="FFFFF2CC"/>
        <color rgb="FFD9EAD3"/>
      </colorScale>
    </cfRule>
  </conditionalFormatting>
  <conditionalFormatting sqref="B42:AH47">
    <cfRule type="colorScale" priority="3">
      <colorScale>
        <cfvo type="min"/>
        <cfvo type="percentile" val="50"/>
        <cfvo type="max"/>
        <color rgb="FFF4CCCC"/>
        <color rgb="FFFFF2CC"/>
        <color rgb="FFD9EAD3"/>
      </colorScale>
    </cfRule>
  </conditionalFormatting>
  <conditionalFormatting sqref="B51:AH59">
    <cfRule type="colorScale" priority="4">
      <colorScale>
        <cfvo type="min"/>
        <cfvo type="percentile" val="50"/>
        <cfvo type="max"/>
        <color rgb="FFF4CCCC"/>
        <color rgb="FFFFF2CC"/>
        <color rgb="FFD9EAD3"/>
      </colorScale>
    </cfRule>
  </conditionalFormatting>
  <pageMargins left="0.75" right="0.75" top="1" bottom="1"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sheetPr>
  <dimension ref="A1:AI226"/>
  <sheetViews>
    <sheetView showGridLines="0" topLeftCell="A136" zoomScaleNormal="100" workbookViewId="0">
      <selection activeCell="M250" sqref="M250"/>
    </sheetView>
  </sheetViews>
  <sheetFormatPr defaultColWidth="8.6640625" defaultRowHeight="14.4" x14ac:dyDescent="0.3"/>
  <cols>
    <col min="1" max="1" width="22" style="6" customWidth="1"/>
    <col min="2" max="34" width="13" style="6" customWidth="1"/>
    <col min="35" max="16384" width="8.6640625" style="6"/>
  </cols>
  <sheetData>
    <row r="1" spans="1:35" ht="30" customHeight="1" x14ac:dyDescent="0.3">
      <c r="A1" s="104" t="s">
        <v>798</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row>
    <row r="2" spans="1:35" x14ac:dyDescent="0.3">
      <c r="A2" s="105" t="s">
        <v>799</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row>
    <row r="4" spans="1:35" ht="15.6" x14ac:dyDescent="0.3">
      <c r="A4" s="35" t="s">
        <v>694</v>
      </c>
    </row>
    <row r="5" spans="1:35" ht="24" x14ac:dyDescent="0.3">
      <c r="A5" s="71" t="s">
        <v>619</v>
      </c>
      <c r="B5" s="71" t="s">
        <v>695</v>
      </c>
      <c r="C5" s="71" t="s">
        <v>696</v>
      </c>
      <c r="D5" s="71" t="s">
        <v>697</v>
      </c>
      <c r="E5" s="71" t="s">
        <v>698</v>
      </c>
    </row>
    <row r="6" spans="1:35" x14ac:dyDescent="0.3">
      <c r="A6" s="8" t="str">
        <f>Districts_Setup!$B$4</f>
        <v>Ahmedabad</v>
      </c>
      <c r="B6" s="54">
        <f>PARAKH_Foundational_G3!E24</f>
        <v>0.56000000000000005</v>
      </c>
      <c r="C6" s="54">
        <f>PARAKH_Preparatory_G6!E33</f>
        <v>0.45281818181818184</v>
      </c>
      <c r="D6" s="54">
        <f>PARAKH_Middle_G9!E51</f>
        <v>0.38454166666666667</v>
      </c>
      <c r="E6" s="55">
        <f t="shared" ref="E6:E38" si="0">AVERAGE(B6:D6)</f>
        <v>0.46578661616161615</v>
      </c>
    </row>
    <row r="7" spans="1:35" x14ac:dyDescent="0.3">
      <c r="A7" s="8" t="str">
        <f>Districts_Setup!$B$5</f>
        <v>Amreli</v>
      </c>
      <c r="B7" s="54">
        <f>PARAKH_Foundational_G3!F24</f>
        <v>0.51708333333333334</v>
      </c>
      <c r="C7" s="54">
        <f>PARAKH_Preparatory_G6!F33</f>
        <v>0.40642424242424241</v>
      </c>
      <c r="D7" s="54">
        <f>PARAKH_Middle_G9!F51</f>
        <v>0.38637499999999997</v>
      </c>
      <c r="E7" s="55">
        <f t="shared" si="0"/>
        <v>0.43662752525252518</v>
      </c>
    </row>
    <row r="8" spans="1:35" x14ac:dyDescent="0.3">
      <c r="A8" s="8" t="str">
        <f>Districts_Setup!$B$6</f>
        <v>Anand</v>
      </c>
      <c r="B8" s="54">
        <f>PARAKH_Foundational_G3!G24</f>
        <v>0.53583333333333338</v>
      </c>
      <c r="C8" s="54">
        <f>PARAKH_Preparatory_G6!G33</f>
        <v>0.46272727272727271</v>
      </c>
      <c r="D8" s="54">
        <f>PARAKH_Middle_G9!G51</f>
        <v>0.37783333333333335</v>
      </c>
      <c r="E8" s="55">
        <f t="shared" si="0"/>
        <v>0.45879797979797976</v>
      </c>
    </row>
    <row r="9" spans="1:35" x14ac:dyDescent="0.3">
      <c r="A9" s="8" t="str">
        <f>Districts_Setup!$B$7</f>
        <v>Aravalli</v>
      </c>
      <c r="B9" s="54">
        <f>PARAKH_Foundational_G3!H24</f>
        <v>0.48791666666666667</v>
      </c>
      <c r="C9" s="54">
        <f>PARAKH_Preparatory_G6!H33</f>
        <v>0.42551515151515157</v>
      </c>
      <c r="D9" s="54">
        <f>PARAKH_Middle_G9!H51</f>
        <v>0.35766666666666669</v>
      </c>
      <c r="E9" s="55">
        <f t="shared" si="0"/>
        <v>0.42369949494949494</v>
      </c>
    </row>
    <row r="10" spans="1:35" x14ac:dyDescent="0.3">
      <c r="A10" s="8" t="str">
        <f>Districts_Setup!$B$8</f>
        <v>Banaskantha</v>
      </c>
      <c r="B10" s="54">
        <f>PARAKH_Foundational_G3!I24</f>
        <v>0.50874999999999992</v>
      </c>
      <c r="C10" s="54">
        <f>PARAKH_Preparatory_G6!I33</f>
        <v>0.45418181818181819</v>
      </c>
      <c r="D10" s="54">
        <f>PARAKH_Middle_G9!I51</f>
        <v>0.38866666666666672</v>
      </c>
      <c r="E10" s="55">
        <f t="shared" si="0"/>
        <v>0.45053282828282826</v>
      </c>
    </row>
    <row r="11" spans="1:35" x14ac:dyDescent="0.3">
      <c r="A11" s="8" t="str">
        <f>Districts_Setup!$B$9</f>
        <v>Bharuch</v>
      </c>
      <c r="B11" s="54">
        <f>PARAKH_Foundational_G3!J24</f>
        <v>0.54541666666666666</v>
      </c>
      <c r="C11" s="54">
        <f>PARAKH_Preparatory_G6!J33</f>
        <v>0.40645454545454546</v>
      </c>
      <c r="D11" s="54">
        <f>PARAKH_Middle_G9!J51</f>
        <v>0.39633333333333337</v>
      </c>
      <c r="E11" s="55">
        <f t="shared" si="0"/>
        <v>0.44940151515151516</v>
      </c>
    </row>
    <row r="12" spans="1:35" x14ac:dyDescent="0.3">
      <c r="A12" s="8" t="str">
        <f>Districts_Setup!$B$10</f>
        <v>Bhavnagar</v>
      </c>
      <c r="B12" s="54">
        <f>PARAKH_Foundational_G3!K24</f>
        <v>0.58875000000000011</v>
      </c>
      <c r="C12" s="54">
        <f>PARAKH_Preparatory_G6!K33</f>
        <v>0.45184848484848489</v>
      </c>
      <c r="D12" s="54">
        <f>PARAKH_Middle_G9!K51</f>
        <v>0.40699999999999992</v>
      </c>
      <c r="E12" s="55">
        <f t="shared" si="0"/>
        <v>0.48253282828282834</v>
      </c>
    </row>
    <row r="13" spans="1:35" x14ac:dyDescent="0.3">
      <c r="A13" s="8" t="str">
        <f>Districts_Setup!$B$11</f>
        <v>Botad</v>
      </c>
      <c r="B13" s="54">
        <f>PARAKH_Foundational_G3!L24</f>
        <v>0.54125000000000001</v>
      </c>
      <c r="C13" s="54">
        <f>PARAKH_Preparatory_G6!L33</f>
        <v>0.43245454545454542</v>
      </c>
      <c r="D13" s="54">
        <f>PARAKH_Middle_G9!L51</f>
        <v>0.37429166666666669</v>
      </c>
      <c r="E13" s="55">
        <f t="shared" si="0"/>
        <v>0.44933207070707071</v>
      </c>
    </row>
    <row r="14" spans="1:35" x14ac:dyDescent="0.3">
      <c r="A14" s="8" t="str">
        <f>Districts_Setup!$B$12</f>
        <v>Chhota Udepur</v>
      </c>
      <c r="B14" s="54">
        <f>PARAKH_Foundational_G3!M24</f>
        <v>0.47791666666666666</v>
      </c>
      <c r="C14" s="54">
        <f>PARAKH_Preparatory_G6!M33</f>
        <v>0.3937878787878788</v>
      </c>
      <c r="D14" s="54">
        <f>PARAKH_Middle_G9!M51</f>
        <v>0.35191666666666666</v>
      </c>
      <c r="E14" s="55">
        <f t="shared" si="0"/>
        <v>0.40787373737373739</v>
      </c>
    </row>
    <row r="15" spans="1:35" x14ac:dyDescent="0.3">
      <c r="A15" s="8" t="str">
        <f>Districts_Setup!$B$13</f>
        <v>Dahod</v>
      </c>
      <c r="B15" s="54">
        <f>PARAKH_Foundational_G3!N24</f>
        <v>0.5625</v>
      </c>
      <c r="C15" s="54">
        <f>PARAKH_Preparatory_G6!N33</f>
        <v>0.45115151515151508</v>
      </c>
      <c r="D15" s="54">
        <f>PARAKH_Middle_G9!N51</f>
        <v>0.34125</v>
      </c>
      <c r="E15" s="55">
        <f t="shared" si="0"/>
        <v>0.45163383838383836</v>
      </c>
    </row>
    <row r="16" spans="1:35" x14ac:dyDescent="0.3">
      <c r="A16" s="8" t="str">
        <f>Districts_Setup!$B$14</f>
        <v>Dang</v>
      </c>
      <c r="B16" s="54">
        <f>PARAKH_Foundational_G3!O24</f>
        <v>0.56791666666666663</v>
      </c>
      <c r="C16" s="54">
        <f>PARAKH_Preparatory_G6!O33</f>
        <v>0.45718181818181819</v>
      </c>
      <c r="D16" s="54">
        <f>PARAKH_Middle_G9!O51</f>
        <v>0.37175000000000002</v>
      </c>
      <c r="E16" s="55">
        <f t="shared" si="0"/>
        <v>0.46561616161616159</v>
      </c>
    </row>
    <row r="17" spans="1:5" x14ac:dyDescent="0.3">
      <c r="A17" s="8" t="str">
        <f>Districts_Setup!$B$15</f>
        <v>Devbhoomi Dwarka</v>
      </c>
      <c r="B17" s="54">
        <f>PARAKH_Foundational_G3!P24</f>
        <v>0.53625000000000012</v>
      </c>
      <c r="C17" s="54">
        <f>PARAKH_Preparatory_G6!P33</f>
        <v>0.47278787878787881</v>
      </c>
      <c r="D17" s="54">
        <f>PARAKH_Middle_G9!P51</f>
        <v>0.37037500000000001</v>
      </c>
      <c r="E17" s="55">
        <f t="shared" si="0"/>
        <v>0.45980429292929292</v>
      </c>
    </row>
    <row r="18" spans="1:5" x14ac:dyDescent="0.3">
      <c r="A18" s="8" t="str">
        <f>Districts_Setup!$B$16</f>
        <v>Gandhinagar</v>
      </c>
      <c r="B18" s="54">
        <f>PARAKH_Foundational_G3!Q24</f>
        <v>0.60083333333333333</v>
      </c>
      <c r="C18" s="54">
        <f>PARAKH_Preparatory_G6!Q33</f>
        <v>0.47772727272727272</v>
      </c>
      <c r="D18" s="54">
        <f>PARAKH_Middle_G9!Q51</f>
        <v>0.44916666666666671</v>
      </c>
      <c r="E18" s="55">
        <f t="shared" si="0"/>
        <v>0.50924242424242427</v>
      </c>
    </row>
    <row r="19" spans="1:5" x14ac:dyDescent="0.3">
      <c r="A19" s="8" t="str">
        <f>Districts_Setup!$B$17</f>
        <v>Gir Somnath</v>
      </c>
      <c r="B19" s="54">
        <f>PARAKH_Foundational_G3!R24</f>
        <v>0.46416666666666667</v>
      </c>
      <c r="C19" s="54">
        <f>PARAKH_Preparatory_G6!R33</f>
        <v>0.41072727272727266</v>
      </c>
      <c r="D19" s="54">
        <f>PARAKH_Middle_G9!R51</f>
        <v>0.36474999999999996</v>
      </c>
      <c r="E19" s="55">
        <f t="shared" si="0"/>
        <v>0.41321464646464645</v>
      </c>
    </row>
    <row r="20" spans="1:5" x14ac:dyDescent="0.3">
      <c r="A20" s="8" t="str">
        <f>Districts_Setup!$B$18</f>
        <v>Jamnagar</v>
      </c>
      <c r="B20" s="54">
        <f>PARAKH_Foundational_G3!S24</f>
        <v>0.45374999999999993</v>
      </c>
      <c r="C20" s="54">
        <f>PARAKH_Preparatory_G6!S33</f>
        <v>0.44290909090909092</v>
      </c>
      <c r="D20" s="54">
        <f>PARAKH_Middle_G9!S51</f>
        <v>0.41045833333333331</v>
      </c>
      <c r="E20" s="55">
        <f t="shared" si="0"/>
        <v>0.43570580808080805</v>
      </c>
    </row>
    <row r="21" spans="1:5" x14ac:dyDescent="0.3">
      <c r="A21" s="8" t="str">
        <f>Districts_Setup!$B$19</f>
        <v>Junagadh</v>
      </c>
      <c r="B21" s="54">
        <f>PARAKH_Foundational_G3!T24</f>
        <v>0.52833333333333332</v>
      </c>
      <c r="C21" s="54">
        <f>PARAKH_Preparatory_G6!T33</f>
        <v>0.48063636363636358</v>
      </c>
      <c r="D21" s="54">
        <f>PARAKH_Middle_G9!T51</f>
        <v>0.40470833333333334</v>
      </c>
      <c r="E21" s="55">
        <f t="shared" si="0"/>
        <v>0.47122601010101012</v>
      </c>
    </row>
    <row r="22" spans="1:5" x14ac:dyDescent="0.3">
      <c r="A22" s="8" t="str">
        <f>Districts_Setup!$B$20</f>
        <v>Kutch</v>
      </c>
      <c r="B22" s="54">
        <f>PARAKH_Foundational_G3!U24</f>
        <v>0.48375000000000001</v>
      </c>
      <c r="C22" s="54">
        <f>PARAKH_Preparatory_G6!U33</f>
        <v>0.44284848484848482</v>
      </c>
      <c r="D22" s="54">
        <f>PARAKH_Middle_G9!U51</f>
        <v>0.40262500000000001</v>
      </c>
      <c r="E22" s="55">
        <f t="shared" si="0"/>
        <v>0.44307449494949491</v>
      </c>
    </row>
    <row r="23" spans="1:5" x14ac:dyDescent="0.3">
      <c r="A23" s="8" t="str">
        <f>Districts_Setup!$B$21</f>
        <v>Kheda</v>
      </c>
      <c r="B23" s="54">
        <f>PARAKH_Foundational_G3!V24</f>
        <v>0.47666666666666668</v>
      </c>
      <c r="C23" s="54">
        <f>PARAKH_Preparatory_G6!V33</f>
        <v>0.40693939393939393</v>
      </c>
      <c r="D23" s="54">
        <f>PARAKH_Middle_G9!V51</f>
        <v>0.35395833333333337</v>
      </c>
      <c r="E23" s="55">
        <f t="shared" si="0"/>
        <v>0.41252146464646461</v>
      </c>
    </row>
    <row r="24" spans="1:5" x14ac:dyDescent="0.3">
      <c r="A24" s="8" t="str">
        <f>Districts_Setup!$B$22</f>
        <v>Mahisagar</v>
      </c>
      <c r="B24" s="54">
        <f>PARAKH_Foundational_G3!W24</f>
        <v>0.53916666666666668</v>
      </c>
      <c r="C24" s="54">
        <f>PARAKH_Preparatory_G6!W33</f>
        <v>0.45103030303030306</v>
      </c>
      <c r="D24" s="54">
        <f>PARAKH_Middle_G9!W51</f>
        <v>0.36929166666666668</v>
      </c>
      <c r="E24" s="55">
        <f t="shared" si="0"/>
        <v>0.45316287878787875</v>
      </c>
    </row>
    <row r="25" spans="1:5" x14ac:dyDescent="0.3">
      <c r="A25" s="8" t="str">
        <f>Districts_Setup!$B$23</f>
        <v>Mehsana</v>
      </c>
      <c r="B25" s="54">
        <f>PARAKH_Foundational_G3!X24</f>
        <v>0.53458333333333341</v>
      </c>
      <c r="C25" s="54">
        <f>PARAKH_Preparatory_G6!X33</f>
        <v>0.46254545454545454</v>
      </c>
      <c r="D25" s="54">
        <f>PARAKH_Middle_G9!X51</f>
        <v>0.3726666666666667</v>
      </c>
      <c r="E25" s="55">
        <f t="shared" si="0"/>
        <v>0.45659848484848492</v>
      </c>
    </row>
    <row r="26" spans="1:5" x14ac:dyDescent="0.3">
      <c r="A26" s="8" t="str">
        <f>Districts_Setup!$B$24</f>
        <v>Morbi</v>
      </c>
      <c r="B26" s="54">
        <f>PARAKH_Foundational_G3!Y24</f>
        <v>0.55208333333333337</v>
      </c>
      <c r="C26" s="54">
        <f>PARAKH_Preparatory_G6!Y33</f>
        <v>0.44251515151515153</v>
      </c>
      <c r="D26" s="54">
        <f>PARAKH_Middle_G9!Y51</f>
        <v>0.37966666666666671</v>
      </c>
      <c r="E26" s="55">
        <f t="shared" si="0"/>
        <v>0.45808838383838385</v>
      </c>
    </row>
    <row r="27" spans="1:5" x14ac:dyDescent="0.3">
      <c r="A27" s="8" t="str">
        <f>Districts_Setup!$B$25</f>
        <v>Narmada</v>
      </c>
      <c r="B27" s="54">
        <f>PARAKH_Foundational_G3!Z24</f>
        <v>0.53916666666666657</v>
      </c>
      <c r="C27" s="54">
        <f>PARAKH_Preparatory_G6!Z33</f>
        <v>0.42042424242424242</v>
      </c>
      <c r="D27" s="54">
        <f>PARAKH_Middle_G9!Z51</f>
        <v>0.37600000000000006</v>
      </c>
      <c r="E27" s="55">
        <f t="shared" si="0"/>
        <v>0.4451969696969697</v>
      </c>
    </row>
    <row r="28" spans="1:5" x14ac:dyDescent="0.3">
      <c r="A28" s="8" t="str">
        <f>Districts_Setup!$B$26</f>
        <v>Navsari</v>
      </c>
      <c r="B28" s="54">
        <f>PARAKH_Foundational_G3!AA24</f>
        <v>0.51666666666666661</v>
      </c>
      <c r="C28" s="54">
        <f>PARAKH_Preparatory_G6!AA33</f>
        <v>0.44778787878787879</v>
      </c>
      <c r="D28" s="54">
        <f>PARAKH_Middle_G9!AA51</f>
        <v>0.41220833333333334</v>
      </c>
      <c r="E28" s="55">
        <f t="shared" si="0"/>
        <v>0.45888762626262625</v>
      </c>
    </row>
    <row r="29" spans="1:5" x14ac:dyDescent="0.3">
      <c r="A29" s="8" t="str">
        <f>Districts_Setup!$B$27</f>
        <v>Panchmahal</v>
      </c>
      <c r="B29" s="54">
        <f>PARAKH_Foundational_G3!AB24</f>
        <v>0.55000000000000004</v>
      </c>
      <c r="C29" s="54">
        <f>PARAKH_Preparatory_G6!AB33</f>
        <v>0.45900000000000002</v>
      </c>
      <c r="D29" s="54">
        <f>PARAKH_Middle_G9!AB51</f>
        <v>0.35491666666666666</v>
      </c>
      <c r="E29" s="55">
        <f t="shared" si="0"/>
        <v>0.45463888888888898</v>
      </c>
    </row>
    <row r="30" spans="1:5" x14ac:dyDescent="0.3">
      <c r="A30" s="8" t="str">
        <f>Districts_Setup!$B$28</f>
        <v>Patan</v>
      </c>
      <c r="B30" s="54">
        <f>PARAKH_Foundational_G3!AC24</f>
        <v>0.49749999999999994</v>
      </c>
      <c r="C30" s="54">
        <f>PARAKH_Preparatory_G6!AC33</f>
        <v>0.45360606060606062</v>
      </c>
      <c r="D30" s="54">
        <f>PARAKH_Middle_G9!AC51</f>
        <v>0.38291666666666668</v>
      </c>
      <c r="E30" s="55">
        <f t="shared" si="0"/>
        <v>0.44467424242424247</v>
      </c>
    </row>
    <row r="31" spans="1:5" x14ac:dyDescent="0.3">
      <c r="A31" s="8" t="str">
        <f>Districts_Setup!$B$29</f>
        <v>Porbandar</v>
      </c>
      <c r="B31" s="54">
        <f>PARAKH_Foundational_G3!AD24</f>
        <v>0.47916666666666663</v>
      </c>
      <c r="C31" s="54">
        <f>PARAKH_Preparatory_G6!AD33</f>
        <v>0.44103030303030311</v>
      </c>
      <c r="D31" s="54">
        <f>PARAKH_Middle_G9!AD51</f>
        <v>0.37987499999999996</v>
      </c>
      <c r="E31" s="55">
        <f t="shared" si="0"/>
        <v>0.43335732323232329</v>
      </c>
    </row>
    <row r="32" spans="1:5" x14ac:dyDescent="0.3">
      <c r="A32" s="8" t="str">
        <f>Districts_Setup!$B$30</f>
        <v>Rajkot</v>
      </c>
      <c r="B32" s="54">
        <f>PARAKH_Foundational_G3!AE24</f>
        <v>0.53208333333333335</v>
      </c>
      <c r="C32" s="54">
        <f>PARAKH_Preparatory_G6!AE33</f>
        <v>0.43548484848484853</v>
      </c>
      <c r="D32" s="54">
        <f>PARAKH_Middle_G9!AE51</f>
        <v>0.41033333333333333</v>
      </c>
      <c r="E32" s="55">
        <f t="shared" si="0"/>
        <v>0.45930050505050507</v>
      </c>
    </row>
    <row r="33" spans="1:10" x14ac:dyDescent="0.3">
      <c r="A33" s="8" t="str">
        <f>Districts_Setup!$B$31</f>
        <v>Sabarkantha</v>
      </c>
      <c r="B33" s="54">
        <f>PARAKH_Foundational_G3!AF24</f>
        <v>0.58791666666666664</v>
      </c>
      <c r="C33" s="54">
        <f>PARAKH_Preparatory_G6!AF33</f>
        <v>0.43072727272727268</v>
      </c>
      <c r="D33" s="54">
        <f>PARAKH_Middle_G9!AF51</f>
        <v>0.37941666666666674</v>
      </c>
      <c r="E33" s="55">
        <f t="shared" si="0"/>
        <v>0.466020202020202</v>
      </c>
    </row>
    <row r="34" spans="1:10" x14ac:dyDescent="0.3">
      <c r="A34" s="8" t="str">
        <f>Districts_Setup!$B$32</f>
        <v>Surat</v>
      </c>
      <c r="B34" s="54">
        <f>PARAKH_Foundational_G3!AG24</f>
        <v>0.51333333333333331</v>
      </c>
      <c r="C34" s="54">
        <f>PARAKH_Preparatory_G6!AG33</f>
        <v>0.46881818181818186</v>
      </c>
      <c r="D34" s="54">
        <f>PARAKH_Middle_G9!AG51</f>
        <v>0.42954166666666665</v>
      </c>
      <c r="E34" s="55">
        <f t="shared" si="0"/>
        <v>0.47056439393939398</v>
      </c>
    </row>
    <row r="35" spans="1:10" x14ac:dyDescent="0.3">
      <c r="A35" s="8" t="str">
        <f>Districts_Setup!$B$33</f>
        <v>Surendranagar</v>
      </c>
      <c r="B35" s="54">
        <f>PARAKH_Foundational_G3!AH24</f>
        <v>0.5708333333333333</v>
      </c>
      <c r="C35" s="54">
        <f>PARAKH_Preparatory_G6!AH33</f>
        <v>0.49178787878787883</v>
      </c>
      <c r="D35" s="54">
        <f>PARAKH_Middle_G9!AH51</f>
        <v>0.36587499999999995</v>
      </c>
      <c r="E35" s="55">
        <f t="shared" si="0"/>
        <v>0.47616540404040403</v>
      </c>
    </row>
    <row r="36" spans="1:10" x14ac:dyDescent="0.3">
      <c r="A36" s="8" t="str">
        <f>Districts_Setup!$B$34</f>
        <v>Tapi</v>
      </c>
      <c r="B36" s="54">
        <f>PARAKH_Foundational_G3!AI24</f>
        <v>0.58458333333333323</v>
      </c>
      <c r="C36" s="54">
        <f>PARAKH_Preparatory_G6!AI33</f>
        <v>0.47712121212121211</v>
      </c>
      <c r="D36" s="54">
        <f>PARAKH_Middle_G9!AI51</f>
        <v>0.40079166666666666</v>
      </c>
      <c r="E36" s="55">
        <f t="shared" si="0"/>
        <v>0.48749873737373733</v>
      </c>
    </row>
    <row r="37" spans="1:10" x14ac:dyDescent="0.3">
      <c r="A37" s="8" t="str">
        <f>Districts_Setup!$B$35</f>
        <v>Vadodara</v>
      </c>
      <c r="B37" s="54">
        <f>PARAKH_Foundational_G3!AJ24</f>
        <v>0.48749999999999993</v>
      </c>
      <c r="C37" s="54">
        <f>PARAKH_Preparatory_G6!AJ33</f>
        <v>0.46478787878787881</v>
      </c>
      <c r="D37" s="54">
        <f>PARAKH_Middle_G9!AJ51</f>
        <v>0.42866666666666664</v>
      </c>
      <c r="E37" s="55">
        <f t="shared" si="0"/>
        <v>0.46031818181818185</v>
      </c>
    </row>
    <row r="38" spans="1:10" x14ac:dyDescent="0.3">
      <c r="A38" s="8" t="str">
        <f>Districts_Setup!$B$36</f>
        <v>Valsad</v>
      </c>
      <c r="B38" s="54">
        <f>PARAKH_Foundational_G3!AK24</f>
        <v>0.54666666666666675</v>
      </c>
      <c r="C38" s="54">
        <f>PARAKH_Preparatory_G6!AK33</f>
        <v>0.44584848484848488</v>
      </c>
      <c r="D38" s="54">
        <f>PARAKH_Middle_G9!AK51</f>
        <v>0.39349999999999996</v>
      </c>
      <c r="E38" s="55">
        <f t="shared" si="0"/>
        <v>0.46200505050505053</v>
      </c>
    </row>
    <row r="40" spans="1:10" ht="15.6" x14ac:dyDescent="0.3">
      <c r="A40" s="35" t="s">
        <v>699</v>
      </c>
    </row>
    <row r="41" spans="1:10" ht="24" x14ac:dyDescent="0.3">
      <c r="A41" s="71" t="s">
        <v>619</v>
      </c>
      <c r="B41" s="71" t="s">
        <v>620</v>
      </c>
      <c r="C41" s="71" t="s">
        <v>621</v>
      </c>
      <c r="D41" s="71" t="s">
        <v>622</v>
      </c>
      <c r="E41" s="71" t="s">
        <v>623</v>
      </c>
      <c r="F41" s="71" t="s">
        <v>624</v>
      </c>
      <c r="G41" s="71" t="s">
        <v>625</v>
      </c>
      <c r="H41" s="71" t="s">
        <v>626</v>
      </c>
      <c r="I41" s="71" t="s">
        <v>627</v>
      </c>
      <c r="J41" s="71" t="s">
        <v>628</v>
      </c>
    </row>
    <row r="42" spans="1:10" x14ac:dyDescent="0.3">
      <c r="A42" s="10" t="str">
        <f>PARAKH_Subject_Performance!A4</f>
        <v>Ahmedabad</v>
      </c>
      <c r="B42" s="54">
        <f>PARAKH_Subject_Performance!B4</f>
        <v>0.59</v>
      </c>
      <c r="C42" s="54">
        <f>PARAKH_Subject_Performance!C4</f>
        <v>0.53000000000000014</v>
      </c>
      <c r="D42" s="54">
        <f>PARAKH_Subject_Performance!D4</f>
        <v>0.51500000000000001</v>
      </c>
      <c r="E42" s="54">
        <f>PARAKH_Subject_Performance!E4</f>
        <v>0.38800000000000001</v>
      </c>
      <c r="F42" s="54">
        <f>PARAKH_Subject_Performance!F4</f>
        <v>0.45545454545454545</v>
      </c>
      <c r="G42" s="54">
        <f>PARAKH_Subject_Performance!G4</f>
        <v>0.48</v>
      </c>
      <c r="H42" s="54">
        <f>PARAKH_Subject_Performance!H4</f>
        <v>0.31666666666666665</v>
      </c>
      <c r="I42" s="54">
        <f>PARAKH_Subject_Performance!I4</f>
        <v>0.37083333333333335</v>
      </c>
      <c r="J42" s="54">
        <f>PARAKH_Subject_Performance!J4</f>
        <v>0.3706666666666667</v>
      </c>
    </row>
    <row r="43" spans="1:10" x14ac:dyDescent="0.3">
      <c r="A43" s="10" t="str">
        <f>PARAKH_Subject_Performance!A5</f>
        <v>Amreli</v>
      </c>
      <c r="B43" s="54">
        <f>PARAKH_Subject_Performance!B5</f>
        <v>0.54666666666666663</v>
      </c>
      <c r="C43" s="54">
        <f>PARAKH_Subject_Performance!C5</f>
        <v>0.48749999999999999</v>
      </c>
      <c r="D43" s="54">
        <f>PARAKH_Subject_Performance!D5</f>
        <v>0.48</v>
      </c>
      <c r="E43" s="54">
        <f>PARAKH_Subject_Performance!E5</f>
        <v>0.33200000000000002</v>
      </c>
      <c r="F43" s="54">
        <f>PARAKH_Subject_Performance!F5</f>
        <v>0.40727272727272729</v>
      </c>
      <c r="G43" s="54">
        <f>PARAKH_Subject_Performance!G5</f>
        <v>0.5</v>
      </c>
      <c r="H43" s="54">
        <f>PARAKH_Subject_Performance!H5</f>
        <v>0.29166666666666663</v>
      </c>
      <c r="I43" s="54">
        <f>PARAKH_Subject_Performance!I5</f>
        <v>0.36916666666666664</v>
      </c>
      <c r="J43" s="54">
        <f>PARAKH_Subject_Performance!J5</f>
        <v>0.38466666666666671</v>
      </c>
    </row>
    <row r="44" spans="1:10" x14ac:dyDescent="0.3">
      <c r="A44" s="10" t="str">
        <f>PARAKH_Subject_Performance!A6</f>
        <v>Anand</v>
      </c>
      <c r="B44" s="54">
        <f>PARAKH_Subject_Performance!B6</f>
        <v>0.57333333333333336</v>
      </c>
      <c r="C44" s="54">
        <f>PARAKH_Subject_Performance!C6</f>
        <v>0.49833333333333335</v>
      </c>
      <c r="D44" s="54">
        <f>PARAKH_Subject_Performance!D6</f>
        <v>0.53500000000000003</v>
      </c>
      <c r="E44" s="54">
        <f>PARAKH_Subject_Performance!E6</f>
        <v>0.39499999999999996</v>
      </c>
      <c r="F44" s="54">
        <f>PARAKH_Subject_Performance!F6</f>
        <v>0.45818181818181819</v>
      </c>
      <c r="G44" s="54">
        <f>PARAKH_Subject_Performance!G6</f>
        <v>0.48</v>
      </c>
      <c r="H44" s="54">
        <f>PARAKH_Subject_Performance!H6</f>
        <v>0.31</v>
      </c>
      <c r="I44" s="54">
        <f>PARAKH_Subject_Performance!I6</f>
        <v>0.36000000000000004</v>
      </c>
      <c r="J44" s="54">
        <f>PARAKH_Subject_Performance!J6</f>
        <v>0.36133333333333334</v>
      </c>
    </row>
    <row r="45" spans="1:10" x14ac:dyDescent="0.3">
      <c r="A45" s="10" t="str">
        <f>PARAKH_Subject_Performance!A7</f>
        <v>Aravalli</v>
      </c>
      <c r="B45" s="54">
        <f>PARAKH_Subject_Performance!B7</f>
        <v>0.51</v>
      </c>
      <c r="C45" s="54">
        <f>PARAKH_Subject_Performance!C7</f>
        <v>0.46583333333333332</v>
      </c>
      <c r="D45" s="54">
        <f>PARAKH_Subject_Performance!D7</f>
        <v>0.49</v>
      </c>
      <c r="E45" s="54">
        <f>PARAKH_Subject_Performance!E7</f>
        <v>0.36199999999999999</v>
      </c>
      <c r="F45" s="54">
        <f>PARAKH_Subject_Performance!F7</f>
        <v>0.42454545454545456</v>
      </c>
      <c r="G45" s="54">
        <f>PARAKH_Subject_Performance!G7</f>
        <v>0.44</v>
      </c>
      <c r="H45" s="54">
        <f>PARAKH_Subject_Performance!H7</f>
        <v>0.29666666666666669</v>
      </c>
      <c r="I45" s="54">
        <f>PARAKH_Subject_Performance!I7</f>
        <v>0.34666666666666668</v>
      </c>
      <c r="J45" s="54">
        <f>PARAKH_Subject_Performance!J7</f>
        <v>0.34733333333333333</v>
      </c>
    </row>
    <row r="46" spans="1:10" x14ac:dyDescent="0.3">
      <c r="A46" s="10" t="str">
        <f>PARAKH_Subject_Performance!A8</f>
        <v>Banaskantha</v>
      </c>
      <c r="B46" s="54">
        <f>PARAKH_Subject_Performance!B8</f>
        <v>0.53666666666666663</v>
      </c>
      <c r="C46" s="54">
        <f>PARAKH_Subject_Performance!C8</f>
        <v>0.48083333333333328</v>
      </c>
      <c r="D46" s="54">
        <f>PARAKH_Subject_Performance!D8</f>
        <v>0.52500000000000002</v>
      </c>
      <c r="E46" s="54">
        <f>PARAKH_Subject_Performance!E8</f>
        <v>0.3829999999999999</v>
      </c>
      <c r="F46" s="54">
        <f>PARAKH_Subject_Performance!F8</f>
        <v>0.45454545454545453</v>
      </c>
      <c r="G46" s="54">
        <f>PARAKH_Subject_Performance!G8</f>
        <v>0.51</v>
      </c>
      <c r="H46" s="54">
        <f>PARAKH_Subject_Performance!H8</f>
        <v>0.3066666666666667</v>
      </c>
      <c r="I46" s="54">
        <f>PARAKH_Subject_Performance!I8</f>
        <v>0.36000000000000004</v>
      </c>
      <c r="J46" s="54">
        <f>PARAKH_Subject_Performance!J8</f>
        <v>0.378</v>
      </c>
    </row>
    <row r="47" spans="1:10" x14ac:dyDescent="0.3">
      <c r="A47" s="10" t="str">
        <f>PARAKH_Subject_Performance!A9</f>
        <v>Bharuch</v>
      </c>
      <c r="B47" s="54">
        <f>PARAKH_Subject_Performance!B9</f>
        <v>0.57666666666666666</v>
      </c>
      <c r="C47" s="54">
        <f>PARAKH_Subject_Performance!C9</f>
        <v>0.51416666666666677</v>
      </c>
      <c r="D47" s="54">
        <f>PARAKH_Subject_Performance!D9</f>
        <v>0.45499999999999996</v>
      </c>
      <c r="E47" s="54">
        <f>PARAKH_Subject_Performance!E9</f>
        <v>0.34799999999999998</v>
      </c>
      <c r="F47" s="54">
        <f>PARAKH_Subject_Performance!F9</f>
        <v>0.41636363636363638</v>
      </c>
      <c r="G47" s="54">
        <f>PARAKH_Subject_Performance!G9</f>
        <v>0.51</v>
      </c>
      <c r="H47" s="54">
        <f>PARAKH_Subject_Performance!H9</f>
        <v>0.32</v>
      </c>
      <c r="I47" s="54">
        <f>PARAKH_Subject_Performance!I9</f>
        <v>0.38000000000000006</v>
      </c>
      <c r="J47" s="54">
        <f>PARAKH_Subject_Performance!J9</f>
        <v>0.37533333333333335</v>
      </c>
    </row>
    <row r="48" spans="1:10" x14ac:dyDescent="0.3">
      <c r="A48" s="10" t="str">
        <f>PARAKH_Subject_Performance!A10</f>
        <v>Bhavnagar</v>
      </c>
      <c r="B48" s="54">
        <f>PARAKH_Subject_Performance!B10</f>
        <v>0.62333333333333341</v>
      </c>
      <c r="C48" s="54">
        <f>PARAKH_Subject_Performance!C10</f>
        <v>0.5541666666666667</v>
      </c>
      <c r="D48" s="54">
        <f>PARAKH_Subject_Performance!D10</f>
        <v>0.52500000000000002</v>
      </c>
      <c r="E48" s="54">
        <f>PARAKH_Subject_Performance!E10</f>
        <v>0.376</v>
      </c>
      <c r="F48" s="54">
        <f>PARAKH_Subject_Performance!F10</f>
        <v>0.45454545454545453</v>
      </c>
      <c r="G48" s="54">
        <f>PARAKH_Subject_Performance!G10</f>
        <v>0.53</v>
      </c>
      <c r="H48" s="54">
        <f>PARAKH_Subject_Performance!H10</f>
        <v>0.31749999999999995</v>
      </c>
      <c r="I48" s="54">
        <f>PARAKH_Subject_Performance!I10</f>
        <v>0.3758333333333333</v>
      </c>
      <c r="J48" s="54">
        <f>PARAKH_Subject_Performance!J10</f>
        <v>0.40466666666666656</v>
      </c>
    </row>
    <row r="49" spans="1:10" x14ac:dyDescent="0.3">
      <c r="A49" s="10" t="str">
        <f>PARAKH_Subject_Performance!A11</f>
        <v>Botad</v>
      </c>
      <c r="B49" s="54">
        <f>PARAKH_Subject_Performance!B11</f>
        <v>0.57666666666666666</v>
      </c>
      <c r="C49" s="54">
        <f>PARAKH_Subject_Performance!C11</f>
        <v>0.50583333333333325</v>
      </c>
      <c r="D49" s="54">
        <f>PARAKH_Subject_Performance!D11</f>
        <v>0.505</v>
      </c>
      <c r="E49" s="54">
        <f>PARAKH_Subject_Performance!E11</f>
        <v>0.36600000000000005</v>
      </c>
      <c r="F49" s="54">
        <f>PARAKH_Subject_Performance!F11</f>
        <v>0.42636363636363633</v>
      </c>
      <c r="G49" s="54">
        <f>PARAKH_Subject_Performance!G11</f>
        <v>0.48</v>
      </c>
      <c r="H49" s="54">
        <f>PARAKH_Subject_Performance!H11</f>
        <v>0.28833333333333333</v>
      </c>
      <c r="I49" s="54">
        <f>PARAKH_Subject_Performance!I11</f>
        <v>0.36083333333333334</v>
      </c>
      <c r="J49" s="54">
        <f>PARAKH_Subject_Performance!J11</f>
        <v>0.36800000000000005</v>
      </c>
    </row>
    <row r="50" spans="1:10" x14ac:dyDescent="0.3">
      <c r="A50" s="10" t="str">
        <f>PARAKH_Subject_Performance!A12</f>
        <v>Chhota Udepur</v>
      </c>
      <c r="B50" s="54">
        <f>PARAKH_Subject_Performance!B12</f>
        <v>0.5033333333333333</v>
      </c>
      <c r="C50" s="54">
        <f>PARAKH_Subject_Performance!C12</f>
        <v>0.45250000000000007</v>
      </c>
      <c r="D50" s="54">
        <f>PARAKH_Subject_Performance!D12</f>
        <v>0.45</v>
      </c>
      <c r="E50" s="54">
        <f>PARAKH_Subject_Performance!E12</f>
        <v>0.32500000000000001</v>
      </c>
      <c r="F50" s="54">
        <f>PARAKH_Subject_Performance!F12</f>
        <v>0.40636363636363643</v>
      </c>
      <c r="G50" s="54">
        <f>PARAKH_Subject_Performance!G12</f>
        <v>0.43</v>
      </c>
      <c r="H50" s="54">
        <f>PARAKH_Subject_Performance!H12</f>
        <v>0.28916666666666668</v>
      </c>
      <c r="I50" s="54">
        <f>PARAKH_Subject_Performance!I12</f>
        <v>0.33916666666666662</v>
      </c>
      <c r="J50" s="54">
        <f>PARAKH_Subject_Performance!J12</f>
        <v>0.34933333333333333</v>
      </c>
    </row>
    <row r="51" spans="1:10" x14ac:dyDescent="0.3">
      <c r="A51" s="10" t="str">
        <f>PARAKH_Subject_Performance!A13</f>
        <v>Dahod</v>
      </c>
      <c r="B51" s="54">
        <f>PARAKH_Subject_Performance!B13</f>
        <v>0.59333333333333338</v>
      </c>
      <c r="C51" s="54">
        <f>PARAKH_Subject_Performance!C13</f>
        <v>0.53166666666666673</v>
      </c>
      <c r="D51" s="54">
        <f>PARAKH_Subject_Performance!D13</f>
        <v>0.49</v>
      </c>
      <c r="E51" s="54">
        <f>PARAKH_Subject_Performance!E13</f>
        <v>0.39799999999999996</v>
      </c>
      <c r="F51" s="54">
        <f>PARAKH_Subject_Performance!F13</f>
        <v>0.46545454545454545</v>
      </c>
      <c r="G51" s="54">
        <f>PARAKH_Subject_Performance!G13</f>
        <v>0.4</v>
      </c>
      <c r="H51" s="54">
        <f>PARAKH_Subject_Performance!H13</f>
        <v>0.28166666666666668</v>
      </c>
      <c r="I51" s="54">
        <f>PARAKH_Subject_Performance!I13</f>
        <v>0.32666666666666672</v>
      </c>
      <c r="J51" s="54">
        <f>PARAKH_Subject_Performance!J13</f>
        <v>0.35666666666666669</v>
      </c>
    </row>
    <row r="52" spans="1:10" x14ac:dyDescent="0.3">
      <c r="A52" s="10" t="str">
        <f>PARAKH_Subject_Performance!A14</f>
        <v>Dang</v>
      </c>
      <c r="B52" s="54">
        <f>PARAKH_Subject_Performance!B14</f>
        <v>0.59</v>
      </c>
      <c r="C52" s="54">
        <f>PARAKH_Subject_Performance!C14</f>
        <v>0.54583333333333328</v>
      </c>
      <c r="D52" s="54">
        <f>PARAKH_Subject_Performance!D14</f>
        <v>0.54</v>
      </c>
      <c r="E52" s="54">
        <f>PARAKH_Subject_Performance!E14</f>
        <v>0.35699999999999998</v>
      </c>
      <c r="F52" s="54">
        <f>PARAKH_Subject_Performance!F14</f>
        <v>0.4745454545454546</v>
      </c>
      <c r="G52" s="54">
        <f>PARAKH_Subject_Performance!G14</f>
        <v>0.44</v>
      </c>
      <c r="H52" s="54">
        <f>PARAKH_Subject_Performance!H14</f>
        <v>0.26166666666666666</v>
      </c>
      <c r="I52" s="54">
        <f>PARAKH_Subject_Performance!I14</f>
        <v>0.38000000000000006</v>
      </c>
      <c r="J52" s="54">
        <f>PARAKH_Subject_Performance!J14</f>
        <v>0.40533333333333332</v>
      </c>
    </row>
    <row r="53" spans="1:10" x14ac:dyDescent="0.3">
      <c r="A53" s="10" t="str">
        <f>PARAKH_Subject_Performance!A15</f>
        <v>Devbhoomi Dwarka</v>
      </c>
      <c r="B53" s="54">
        <f>PARAKH_Subject_Performance!B15</f>
        <v>0.56666666666666676</v>
      </c>
      <c r="C53" s="54">
        <f>PARAKH_Subject_Performance!C15</f>
        <v>0.50583333333333347</v>
      </c>
      <c r="D53" s="54">
        <f>PARAKH_Subject_Performance!D15</f>
        <v>0.56000000000000005</v>
      </c>
      <c r="E53" s="54">
        <f>PARAKH_Subject_Performance!E15</f>
        <v>0.41200000000000003</v>
      </c>
      <c r="F53" s="54">
        <f>PARAKH_Subject_Performance!F15</f>
        <v>0.44636363636363635</v>
      </c>
      <c r="G53" s="54">
        <f>PARAKH_Subject_Performance!G15</f>
        <v>0.54</v>
      </c>
      <c r="H53" s="54">
        <f>PARAKH_Subject_Performance!H15</f>
        <v>0.32166666666666666</v>
      </c>
      <c r="I53" s="54">
        <f>PARAKH_Subject_Performance!I15</f>
        <v>0.29916666666666675</v>
      </c>
      <c r="J53" s="54">
        <f>PARAKH_Subject_Performance!J15</f>
        <v>0.32066666666666671</v>
      </c>
    </row>
    <row r="54" spans="1:10" x14ac:dyDescent="0.3">
      <c r="A54" s="10" t="str">
        <f>PARAKH_Subject_Performance!A16</f>
        <v>Gandhinagar</v>
      </c>
      <c r="B54" s="54">
        <f>PARAKH_Subject_Performance!B16</f>
        <v>0.62666666666666659</v>
      </c>
      <c r="C54" s="54">
        <f>PARAKH_Subject_Performance!C16</f>
        <v>0.57499999999999996</v>
      </c>
      <c r="D54" s="54">
        <f>PARAKH_Subject_Performance!D16</f>
        <v>0.54500000000000004</v>
      </c>
      <c r="E54" s="54">
        <f>PARAKH_Subject_Performance!E16</f>
        <v>0.41</v>
      </c>
      <c r="F54" s="54">
        <f>PARAKH_Subject_Performance!F16</f>
        <v>0.47818181818181815</v>
      </c>
      <c r="G54" s="54">
        <f>PARAKH_Subject_Performance!G16</f>
        <v>0.59</v>
      </c>
      <c r="H54" s="54">
        <f>PARAKH_Subject_Performance!H16</f>
        <v>0.35333333333333333</v>
      </c>
      <c r="I54" s="54">
        <f>PARAKH_Subject_Performance!I16</f>
        <v>0.42333333333333328</v>
      </c>
      <c r="J54" s="54">
        <f>PARAKH_Subject_Performance!J16</f>
        <v>0.43000000000000005</v>
      </c>
    </row>
    <row r="55" spans="1:10" x14ac:dyDescent="0.3">
      <c r="A55" s="10" t="str">
        <f>PARAKH_Subject_Performance!A17</f>
        <v>Gir Somnath</v>
      </c>
      <c r="B55" s="54">
        <f>PARAKH_Subject_Performance!B17</f>
        <v>0.49333333333333335</v>
      </c>
      <c r="C55" s="54">
        <f>PARAKH_Subject_Performance!C17</f>
        <v>0.435</v>
      </c>
      <c r="D55" s="54">
        <f>PARAKH_Subject_Performance!D17</f>
        <v>0.45499999999999996</v>
      </c>
      <c r="E55" s="54">
        <f>PARAKH_Subject_Performance!E17</f>
        <v>0.36899999999999994</v>
      </c>
      <c r="F55" s="54">
        <f>PARAKH_Subject_Performance!F17</f>
        <v>0.40818181818181815</v>
      </c>
      <c r="G55" s="54">
        <f>PARAKH_Subject_Performance!G17</f>
        <v>0.45</v>
      </c>
      <c r="H55" s="54">
        <f>PARAKH_Subject_Performance!H17</f>
        <v>0.29833333333333328</v>
      </c>
      <c r="I55" s="54">
        <f>PARAKH_Subject_Performance!I17</f>
        <v>0.34999999999999992</v>
      </c>
      <c r="J55" s="54">
        <f>PARAKH_Subject_Performance!J17</f>
        <v>0.36066666666666675</v>
      </c>
    </row>
    <row r="56" spans="1:10" x14ac:dyDescent="0.3">
      <c r="A56" s="10" t="str">
        <f>PARAKH_Subject_Performance!A18</f>
        <v>Jamnagar</v>
      </c>
      <c r="B56" s="54">
        <f>PARAKH_Subject_Performance!B18</f>
        <v>0.47666666666666663</v>
      </c>
      <c r="C56" s="54">
        <f>PARAKH_Subject_Performance!C18</f>
        <v>0.43083333333333323</v>
      </c>
      <c r="D56" s="54">
        <f>PARAKH_Subject_Performance!D18</f>
        <v>0.51</v>
      </c>
      <c r="E56" s="54">
        <f>PARAKH_Subject_Performance!E18</f>
        <v>0.376</v>
      </c>
      <c r="F56" s="54">
        <f>PARAKH_Subject_Performance!F18</f>
        <v>0.44272727272727275</v>
      </c>
      <c r="G56" s="54">
        <f>PARAKH_Subject_Performance!G18</f>
        <v>0.53</v>
      </c>
      <c r="H56" s="54">
        <f>PARAKH_Subject_Performance!H18</f>
        <v>0.32749999999999996</v>
      </c>
      <c r="I56" s="54">
        <f>PARAKH_Subject_Performance!I18</f>
        <v>0.38833333333333336</v>
      </c>
      <c r="J56" s="54">
        <f>PARAKH_Subject_Performance!J18</f>
        <v>0.39599999999999996</v>
      </c>
    </row>
    <row r="57" spans="1:10" x14ac:dyDescent="0.3">
      <c r="A57" s="10" t="str">
        <f>PARAKH_Subject_Performance!A19</f>
        <v>Junagadh</v>
      </c>
      <c r="B57" s="54">
        <f>PARAKH_Subject_Performance!B19</f>
        <v>0.56666666666666654</v>
      </c>
      <c r="C57" s="54">
        <f>PARAKH_Subject_Performance!C19</f>
        <v>0.49</v>
      </c>
      <c r="D57" s="54">
        <f>PARAKH_Subject_Performance!D19</f>
        <v>0.55499999999999994</v>
      </c>
      <c r="E57" s="54">
        <f>PARAKH_Subject_Performance!E19</f>
        <v>0.41600000000000004</v>
      </c>
      <c r="F57" s="54">
        <f>PARAKH_Subject_Performance!F19</f>
        <v>0.47090909090909089</v>
      </c>
      <c r="G57" s="54">
        <f>PARAKH_Subject_Performance!G19</f>
        <v>0.52</v>
      </c>
      <c r="H57" s="54">
        <f>PARAKH_Subject_Performance!H19</f>
        <v>0.31583333333333335</v>
      </c>
      <c r="I57" s="54">
        <f>PARAKH_Subject_Performance!I19</f>
        <v>0.38500000000000006</v>
      </c>
      <c r="J57" s="54">
        <f>PARAKH_Subject_Performance!J19</f>
        <v>0.39800000000000002</v>
      </c>
    </row>
    <row r="58" spans="1:10" x14ac:dyDescent="0.3">
      <c r="A58" s="10" t="str">
        <f>PARAKH_Subject_Performance!A20</f>
        <v>Kutch</v>
      </c>
      <c r="B58" s="54">
        <f>PARAKH_Subject_Performance!B20</f>
        <v>0.5033333333333333</v>
      </c>
      <c r="C58" s="54">
        <f>PARAKH_Subject_Performance!C20</f>
        <v>0.46416666666666667</v>
      </c>
      <c r="D58" s="54">
        <f>PARAKH_Subject_Performance!D20</f>
        <v>0.51500000000000001</v>
      </c>
      <c r="E58" s="54">
        <f>PARAKH_Subject_Performance!E20</f>
        <v>0.37899999999999995</v>
      </c>
      <c r="F58" s="54">
        <f>PARAKH_Subject_Performance!F20</f>
        <v>0.43454545454545457</v>
      </c>
      <c r="G58" s="54">
        <f>PARAKH_Subject_Performance!G20</f>
        <v>0.53</v>
      </c>
      <c r="H58" s="54">
        <f>PARAKH_Subject_Performance!H20</f>
        <v>0.32</v>
      </c>
      <c r="I58" s="54">
        <f>PARAKH_Subject_Performance!I20</f>
        <v>0.3758333333333333</v>
      </c>
      <c r="J58" s="54">
        <f>PARAKH_Subject_Performance!J20</f>
        <v>0.38466666666666666</v>
      </c>
    </row>
    <row r="59" spans="1:10" x14ac:dyDescent="0.3">
      <c r="A59" s="10" t="str">
        <f>PARAKH_Subject_Performance!A21</f>
        <v>Kheda</v>
      </c>
      <c r="B59" s="54">
        <f>PARAKH_Subject_Performance!B21</f>
        <v>0.50666666666666671</v>
      </c>
      <c r="C59" s="54">
        <f>PARAKH_Subject_Performance!C21</f>
        <v>0.44666666666666671</v>
      </c>
      <c r="D59" s="54">
        <f>PARAKH_Subject_Performance!D21</f>
        <v>0.47</v>
      </c>
      <c r="E59" s="54">
        <f>PARAKH_Subject_Performance!E21</f>
        <v>0.32900000000000001</v>
      </c>
      <c r="F59" s="54">
        <f>PARAKH_Subject_Performance!F21</f>
        <v>0.42181818181818187</v>
      </c>
      <c r="G59" s="54">
        <f>PARAKH_Subject_Performance!G21</f>
        <v>0.45</v>
      </c>
      <c r="H59" s="54">
        <f>PARAKH_Subject_Performance!H21</f>
        <v>0.28333333333333338</v>
      </c>
      <c r="I59" s="54">
        <f>PARAKH_Subject_Performance!I21</f>
        <v>0.33916666666666662</v>
      </c>
      <c r="J59" s="54">
        <f>PARAKH_Subject_Performance!J21</f>
        <v>0.34333333333333338</v>
      </c>
    </row>
    <row r="60" spans="1:10" x14ac:dyDescent="0.3">
      <c r="A60" s="10" t="str">
        <f>PARAKH_Subject_Performance!A22</f>
        <v>Mahisagar</v>
      </c>
      <c r="B60" s="54">
        <f>PARAKH_Subject_Performance!B22</f>
        <v>0.58000000000000007</v>
      </c>
      <c r="C60" s="54">
        <f>PARAKH_Subject_Performance!C22</f>
        <v>0.49833333333333335</v>
      </c>
      <c r="D60" s="54">
        <f>PARAKH_Subject_Performance!D22</f>
        <v>0.495</v>
      </c>
      <c r="E60" s="54">
        <f>PARAKH_Subject_Performance!E22</f>
        <v>0.38899999999999996</v>
      </c>
      <c r="F60" s="54">
        <f>PARAKH_Subject_Performance!F22</f>
        <v>0.46909090909090911</v>
      </c>
      <c r="G60" s="54">
        <f>PARAKH_Subject_Performance!G22</f>
        <v>0.44</v>
      </c>
      <c r="H60" s="54">
        <f>PARAKH_Subject_Performance!H22</f>
        <v>0.29833333333333334</v>
      </c>
      <c r="I60" s="54">
        <f>PARAKH_Subject_Performance!I22</f>
        <v>0.36083333333333334</v>
      </c>
      <c r="J60" s="54">
        <f>PARAKH_Subject_Performance!J22</f>
        <v>0.378</v>
      </c>
    </row>
    <row r="61" spans="1:10" x14ac:dyDescent="0.3">
      <c r="A61" s="10" t="str">
        <f>PARAKH_Subject_Performance!A23</f>
        <v>Mehsana</v>
      </c>
      <c r="B61" s="54">
        <f>PARAKH_Subject_Performance!B23</f>
        <v>0.56666666666666665</v>
      </c>
      <c r="C61" s="54">
        <f>PARAKH_Subject_Performance!C23</f>
        <v>0.50250000000000006</v>
      </c>
      <c r="D61" s="54">
        <f>PARAKH_Subject_Performance!D23</f>
        <v>0.55499999999999994</v>
      </c>
      <c r="E61" s="54">
        <f>PARAKH_Subject_Performance!E23</f>
        <v>0.39900000000000002</v>
      </c>
      <c r="F61" s="54">
        <f>PARAKH_Subject_Performance!F23</f>
        <v>0.4336363636363636</v>
      </c>
      <c r="G61" s="54">
        <f>PARAKH_Subject_Performance!G23</f>
        <v>0.5</v>
      </c>
      <c r="H61" s="54">
        <f>PARAKH_Subject_Performance!H23</f>
        <v>0.30833333333333335</v>
      </c>
      <c r="I61" s="54">
        <f>PARAKH_Subject_Performance!I23</f>
        <v>0.34833333333333333</v>
      </c>
      <c r="J61" s="54">
        <f>PARAKH_Subject_Performance!J23</f>
        <v>0.33400000000000002</v>
      </c>
    </row>
    <row r="62" spans="1:10" x14ac:dyDescent="0.3">
      <c r="A62" s="10" t="str">
        <f>PARAKH_Subject_Performance!A24</f>
        <v>Morbi</v>
      </c>
      <c r="B62" s="54">
        <f>PARAKH_Subject_Performance!B24</f>
        <v>0.59</v>
      </c>
      <c r="C62" s="54">
        <f>PARAKH_Subject_Performance!C24</f>
        <v>0.51416666666666677</v>
      </c>
      <c r="D62" s="54">
        <f>PARAKH_Subject_Performance!D24</f>
        <v>0.505</v>
      </c>
      <c r="E62" s="54">
        <f>PARAKH_Subject_Performance!E24</f>
        <v>0.38800000000000001</v>
      </c>
      <c r="F62" s="54">
        <f>PARAKH_Subject_Performance!F24</f>
        <v>0.43454545454545457</v>
      </c>
      <c r="G62" s="54">
        <f>PARAKH_Subject_Performance!G24</f>
        <v>0.49</v>
      </c>
      <c r="H62" s="54">
        <f>PARAKH_Subject_Performance!H24</f>
        <v>0.29666666666666669</v>
      </c>
      <c r="I62" s="54">
        <f>PARAKH_Subject_Performance!I24</f>
        <v>0.36000000000000004</v>
      </c>
      <c r="J62" s="54">
        <f>PARAKH_Subject_Performance!J24</f>
        <v>0.372</v>
      </c>
    </row>
    <row r="63" spans="1:10" x14ac:dyDescent="0.3">
      <c r="A63" s="10" t="str">
        <f>PARAKH_Subject_Performance!A25</f>
        <v>Narmada</v>
      </c>
      <c r="B63" s="54">
        <f>PARAKH_Subject_Performance!B25</f>
        <v>0.57333333333333325</v>
      </c>
      <c r="C63" s="54">
        <f>PARAKH_Subject_Performance!C25</f>
        <v>0.505</v>
      </c>
      <c r="D63" s="54">
        <f>PARAKH_Subject_Performance!D25</f>
        <v>0.48</v>
      </c>
      <c r="E63" s="54">
        <f>PARAKH_Subject_Performance!E25</f>
        <v>0.36399999999999999</v>
      </c>
      <c r="F63" s="54">
        <f>PARAKH_Subject_Performance!F25</f>
        <v>0.41727272727272735</v>
      </c>
      <c r="G63" s="54">
        <f>PARAKH_Subject_Performance!G25</f>
        <v>0.5</v>
      </c>
      <c r="H63" s="54">
        <f>PARAKH_Subject_Performance!H25</f>
        <v>0.28333333333333338</v>
      </c>
      <c r="I63" s="54">
        <f>PARAKH_Subject_Performance!I25</f>
        <v>0.35666666666666669</v>
      </c>
      <c r="J63" s="54">
        <f>PARAKH_Subject_Performance!J25</f>
        <v>0.36400000000000005</v>
      </c>
    </row>
    <row r="64" spans="1:10" x14ac:dyDescent="0.3">
      <c r="A64" s="10" t="str">
        <f>PARAKH_Subject_Performance!A26</f>
        <v>Navsari</v>
      </c>
      <c r="B64" s="54">
        <f>PARAKH_Subject_Performance!B26</f>
        <v>0.54333333333333333</v>
      </c>
      <c r="C64" s="54">
        <f>PARAKH_Subject_Performance!C26</f>
        <v>0.49</v>
      </c>
      <c r="D64" s="54">
        <f>PARAKH_Subject_Performance!D26</f>
        <v>0.52</v>
      </c>
      <c r="E64" s="54">
        <f>PARAKH_Subject_Performance!E26</f>
        <v>0.377</v>
      </c>
      <c r="F64" s="54">
        <f>PARAKH_Subject_Performance!F26</f>
        <v>0.44636363636363635</v>
      </c>
      <c r="G64" s="54">
        <f>PARAKH_Subject_Performance!G26</f>
        <v>0.53</v>
      </c>
      <c r="H64" s="54">
        <f>PARAKH_Subject_Performance!H26</f>
        <v>0.33083333333333337</v>
      </c>
      <c r="I64" s="54">
        <f>PARAKH_Subject_Performance!I26</f>
        <v>0.38666666666666671</v>
      </c>
      <c r="J64" s="54">
        <f>PARAKH_Subject_Performance!J26</f>
        <v>0.40133333333333338</v>
      </c>
    </row>
    <row r="65" spans="1:10" x14ac:dyDescent="0.3">
      <c r="A65" s="10" t="str">
        <f>PARAKH_Subject_Performance!A27</f>
        <v>Panchmahal</v>
      </c>
      <c r="B65" s="54">
        <f>PARAKH_Subject_Performance!B27</f>
        <v>0.57666666666666666</v>
      </c>
      <c r="C65" s="54">
        <f>PARAKH_Subject_Performance!C27</f>
        <v>0.52333333333333343</v>
      </c>
      <c r="D65" s="54">
        <f>PARAKH_Subject_Performance!D27</f>
        <v>0.52</v>
      </c>
      <c r="E65" s="54">
        <f>PARAKH_Subject_Performance!E27</f>
        <v>0.40700000000000003</v>
      </c>
      <c r="F65" s="54">
        <f>PARAKH_Subject_Performance!F27</f>
        <v>0.45</v>
      </c>
      <c r="G65" s="54">
        <f>PARAKH_Subject_Performance!G27</f>
        <v>0.44</v>
      </c>
      <c r="H65" s="54">
        <f>PARAKH_Subject_Performance!H27</f>
        <v>0.28583333333333333</v>
      </c>
      <c r="I65" s="54">
        <f>PARAKH_Subject_Performance!I27</f>
        <v>0.34583333333333327</v>
      </c>
      <c r="J65" s="54">
        <f>PARAKH_Subject_Performance!J27</f>
        <v>0.34800000000000003</v>
      </c>
    </row>
    <row r="66" spans="1:10" x14ac:dyDescent="0.3">
      <c r="A66" s="10" t="str">
        <f>PARAKH_Subject_Performance!A28</f>
        <v>Patan</v>
      </c>
      <c r="B66" s="54">
        <f>PARAKH_Subject_Performance!B28</f>
        <v>0.52666666666666662</v>
      </c>
      <c r="C66" s="54">
        <f>PARAKH_Subject_Performance!C28</f>
        <v>0.46833333333333332</v>
      </c>
      <c r="D66" s="54">
        <f>PARAKH_Subject_Performance!D28</f>
        <v>0.52</v>
      </c>
      <c r="E66" s="54">
        <f>PARAKH_Subject_Performance!E28</f>
        <v>0.38899999999999996</v>
      </c>
      <c r="F66" s="54">
        <f>PARAKH_Subject_Performance!F28</f>
        <v>0.4518181818181819</v>
      </c>
      <c r="G66" s="54">
        <f>PARAKH_Subject_Performance!G28</f>
        <v>0.48</v>
      </c>
      <c r="H66" s="54">
        <f>PARAKH_Subject_Performance!H28</f>
        <v>0.30750000000000005</v>
      </c>
      <c r="I66" s="54">
        <f>PARAKH_Subject_Performance!I28</f>
        <v>0.36749999999999999</v>
      </c>
      <c r="J66" s="54">
        <f>PARAKH_Subject_Performance!J28</f>
        <v>0.37666666666666665</v>
      </c>
    </row>
    <row r="67" spans="1:10" x14ac:dyDescent="0.3">
      <c r="A67" s="10" t="str">
        <f>PARAKH_Subject_Performance!A29</f>
        <v>Porbandar</v>
      </c>
      <c r="B67" s="54">
        <f>PARAKH_Subject_Performance!B29</f>
        <v>0.5</v>
      </c>
      <c r="C67" s="54">
        <f>PARAKH_Subject_Performance!C29</f>
        <v>0.45833333333333331</v>
      </c>
      <c r="D67" s="54">
        <f>PARAKH_Subject_Performance!D29</f>
        <v>0.51500000000000001</v>
      </c>
      <c r="E67" s="54">
        <f>PARAKH_Subject_Performance!E29</f>
        <v>0.36900000000000005</v>
      </c>
      <c r="F67" s="54">
        <f>PARAKH_Subject_Performance!F29</f>
        <v>0.4390909090909092</v>
      </c>
      <c r="G67" s="54">
        <f>PARAKH_Subject_Performance!G29</f>
        <v>0.49</v>
      </c>
      <c r="H67" s="54">
        <f>PARAKH_Subject_Performance!H29</f>
        <v>0.3</v>
      </c>
      <c r="I67" s="54">
        <f>PARAKH_Subject_Performance!I29</f>
        <v>0.35749999999999998</v>
      </c>
      <c r="J67" s="54">
        <f>PARAKH_Subject_Performance!J29</f>
        <v>0.372</v>
      </c>
    </row>
    <row r="68" spans="1:10" x14ac:dyDescent="0.3">
      <c r="A68" s="10" t="str">
        <f>PARAKH_Subject_Performance!A30</f>
        <v>Rajkot</v>
      </c>
      <c r="B68" s="54">
        <f>PARAKH_Subject_Performance!B30</f>
        <v>0.56333333333333335</v>
      </c>
      <c r="C68" s="54">
        <f>PARAKH_Subject_Performance!C30</f>
        <v>0.50083333333333335</v>
      </c>
      <c r="D68" s="54">
        <f>PARAKH_Subject_Performance!D30</f>
        <v>0.49</v>
      </c>
      <c r="E68" s="54">
        <f>PARAKH_Subject_Performance!E30</f>
        <v>0.38100000000000001</v>
      </c>
      <c r="F68" s="54">
        <f>PARAKH_Subject_Performance!F30</f>
        <v>0.43545454545454554</v>
      </c>
      <c r="G68" s="54">
        <f>PARAKH_Subject_Performance!G30</f>
        <v>0.53</v>
      </c>
      <c r="H68" s="54">
        <f>PARAKH_Subject_Performance!H30</f>
        <v>0.32500000000000001</v>
      </c>
      <c r="I68" s="54">
        <f>PARAKH_Subject_Performance!I30</f>
        <v>0.38500000000000001</v>
      </c>
      <c r="J68" s="54">
        <f>PARAKH_Subject_Performance!J30</f>
        <v>0.40133333333333338</v>
      </c>
    </row>
    <row r="69" spans="1:10" x14ac:dyDescent="0.3">
      <c r="A69" s="10" t="str">
        <f>PARAKH_Subject_Performance!A31</f>
        <v>Sabarkantha</v>
      </c>
      <c r="B69" s="54">
        <f>PARAKH_Subject_Performance!B31</f>
        <v>0.61333333333333329</v>
      </c>
      <c r="C69" s="54">
        <f>PARAKH_Subject_Performance!C31</f>
        <v>0.56250000000000011</v>
      </c>
      <c r="D69" s="54">
        <f>PARAKH_Subject_Performance!D31</f>
        <v>0.49</v>
      </c>
      <c r="E69" s="54">
        <f>PARAKH_Subject_Performance!E31</f>
        <v>0.374</v>
      </c>
      <c r="F69" s="54">
        <f>PARAKH_Subject_Performance!F31</f>
        <v>0.42818181818181816</v>
      </c>
      <c r="G69" s="54">
        <f>PARAKH_Subject_Performance!G31</f>
        <v>0.48</v>
      </c>
      <c r="H69" s="54">
        <f>PARAKH_Subject_Performance!H31</f>
        <v>0.3116666666666667</v>
      </c>
      <c r="I69" s="54">
        <f>PARAKH_Subject_Performance!I31</f>
        <v>0.35333333333333344</v>
      </c>
      <c r="J69" s="54">
        <f>PARAKH_Subject_Performance!J31</f>
        <v>0.37266666666666665</v>
      </c>
    </row>
    <row r="70" spans="1:10" x14ac:dyDescent="0.3">
      <c r="A70" s="10" t="str">
        <f>PARAKH_Subject_Performance!A32</f>
        <v>Surat</v>
      </c>
      <c r="B70" s="54">
        <f>PARAKH_Subject_Performance!B32</f>
        <v>0.54666666666666663</v>
      </c>
      <c r="C70" s="54">
        <f>PARAKH_Subject_Performance!C32</f>
        <v>0.48000000000000004</v>
      </c>
      <c r="D70" s="54">
        <f>PARAKH_Subject_Performance!D32</f>
        <v>0.54500000000000004</v>
      </c>
      <c r="E70" s="54">
        <f>PARAKH_Subject_Performance!E32</f>
        <v>0.40600000000000003</v>
      </c>
      <c r="F70" s="54">
        <f>PARAKH_Subject_Performance!F32</f>
        <v>0.4554545454545455</v>
      </c>
      <c r="G70" s="54">
        <f>PARAKH_Subject_Performance!G32</f>
        <v>0.56000000000000005</v>
      </c>
      <c r="H70" s="54">
        <f>PARAKH_Subject_Performance!H32</f>
        <v>0.34083333333333332</v>
      </c>
      <c r="I70" s="54">
        <f>PARAKH_Subject_Performance!I32</f>
        <v>0.39999999999999997</v>
      </c>
      <c r="J70" s="54">
        <f>PARAKH_Subject_Performance!J32</f>
        <v>0.41733333333333339</v>
      </c>
    </row>
    <row r="71" spans="1:10" x14ac:dyDescent="0.3">
      <c r="A71" s="10" t="str">
        <f>PARAKH_Subject_Performance!A33</f>
        <v>Surendranagar</v>
      </c>
      <c r="B71" s="54">
        <f>PARAKH_Subject_Performance!B33</f>
        <v>0.61</v>
      </c>
      <c r="C71" s="54">
        <f>PARAKH_Subject_Performance!C33</f>
        <v>0.53166666666666662</v>
      </c>
      <c r="D71" s="54">
        <f>PARAKH_Subject_Performance!D33</f>
        <v>0.56499999999999995</v>
      </c>
      <c r="E71" s="54">
        <f>PARAKH_Subject_Performance!E33</f>
        <v>0.42400000000000004</v>
      </c>
      <c r="F71" s="54">
        <f>PARAKH_Subject_Performance!F33</f>
        <v>0.48636363636363639</v>
      </c>
      <c r="G71" s="54">
        <f>PARAKH_Subject_Performance!G33</f>
        <v>0.46</v>
      </c>
      <c r="H71" s="54">
        <f>PARAKH_Subject_Performance!H33</f>
        <v>0.30249999999999999</v>
      </c>
      <c r="I71" s="54">
        <f>PARAKH_Subject_Performance!I33</f>
        <v>0.34499999999999997</v>
      </c>
      <c r="J71" s="54">
        <f>PARAKH_Subject_Performance!J33</f>
        <v>0.35599999999999998</v>
      </c>
    </row>
    <row r="72" spans="1:10" x14ac:dyDescent="0.3">
      <c r="A72" s="10" t="str">
        <f>PARAKH_Subject_Performance!A34</f>
        <v>Tapi</v>
      </c>
      <c r="B72" s="54">
        <f>PARAKH_Subject_Performance!B34</f>
        <v>0.61333333333333329</v>
      </c>
      <c r="C72" s="54">
        <f>PARAKH_Subject_Performance!C34</f>
        <v>0.55583333333333329</v>
      </c>
      <c r="D72" s="54">
        <f>PARAKH_Subject_Performance!D34</f>
        <v>0.54</v>
      </c>
      <c r="E72" s="54">
        <f>PARAKH_Subject_Performance!E34</f>
        <v>0.40499999999999997</v>
      </c>
      <c r="F72" s="54">
        <f>PARAKH_Subject_Performance!F34</f>
        <v>0.48636363636363639</v>
      </c>
      <c r="G72" s="54">
        <f>PARAKH_Subject_Performance!G34</f>
        <v>0.53</v>
      </c>
      <c r="H72" s="54">
        <f>PARAKH_Subject_Performance!H34</f>
        <v>0.3041666666666667</v>
      </c>
      <c r="I72" s="54">
        <f>PARAKH_Subject_Performance!I34</f>
        <v>0.37833333333333324</v>
      </c>
      <c r="J72" s="54">
        <f>PARAKH_Subject_Performance!J34</f>
        <v>0.39066666666666661</v>
      </c>
    </row>
    <row r="73" spans="1:10" x14ac:dyDescent="0.3">
      <c r="A73" s="10" t="str">
        <f>PARAKH_Subject_Performance!A35</f>
        <v>Vadodara</v>
      </c>
      <c r="B73" s="54">
        <f>PARAKH_Subject_Performance!B35</f>
        <v>0.51333333333333331</v>
      </c>
      <c r="C73" s="54">
        <f>PARAKH_Subject_Performance!C35</f>
        <v>0.46166666666666661</v>
      </c>
      <c r="D73" s="54">
        <f>PARAKH_Subject_Performance!D35</f>
        <v>0.53500000000000003</v>
      </c>
      <c r="E73" s="54">
        <f>PARAKH_Subject_Performance!E35</f>
        <v>0.40300000000000002</v>
      </c>
      <c r="F73" s="54">
        <f>PARAKH_Subject_Performance!F35</f>
        <v>0.45636363636363642</v>
      </c>
      <c r="G73" s="54">
        <f>PARAKH_Subject_Performance!G35</f>
        <v>0.55000000000000004</v>
      </c>
      <c r="H73" s="54">
        <f>PARAKH_Subject_Performance!H35</f>
        <v>0.34166666666666662</v>
      </c>
      <c r="I73" s="54">
        <f>PARAKH_Subject_Performance!I35</f>
        <v>0.40833333333333327</v>
      </c>
      <c r="J73" s="54">
        <f>PARAKH_Subject_Performance!J35</f>
        <v>0.41466666666666663</v>
      </c>
    </row>
    <row r="74" spans="1:10" x14ac:dyDescent="0.3">
      <c r="A74" s="10" t="str">
        <f>PARAKH_Subject_Performance!A36</f>
        <v>Valsad</v>
      </c>
      <c r="B74" s="54">
        <f>PARAKH_Subject_Performance!B36</f>
        <v>0.58000000000000007</v>
      </c>
      <c r="C74" s="54">
        <f>PARAKH_Subject_Performance!C36</f>
        <v>0.51333333333333342</v>
      </c>
      <c r="D74" s="54">
        <f>PARAKH_Subject_Performance!D36</f>
        <v>0.51500000000000001</v>
      </c>
      <c r="E74" s="54">
        <f>PARAKH_Subject_Performance!E36</f>
        <v>0.378</v>
      </c>
      <c r="F74" s="54">
        <f>PARAKH_Subject_Performance!F36</f>
        <v>0.44454545454545458</v>
      </c>
      <c r="G74" s="54">
        <f>PARAKH_Subject_Performance!G36</f>
        <v>0.5</v>
      </c>
      <c r="H74" s="54">
        <f>PARAKH_Subject_Performance!H36</f>
        <v>0.31</v>
      </c>
      <c r="I74" s="54">
        <f>PARAKH_Subject_Performance!I36</f>
        <v>0.37999999999999995</v>
      </c>
      <c r="J74" s="54">
        <f>PARAKH_Subject_Performance!J36</f>
        <v>0.38399999999999995</v>
      </c>
    </row>
    <row r="76" spans="1:10" ht="15.6" x14ac:dyDescent="0.3">
      <c r="A76" s="35" t="s">
        <v>700</v>
      </c>
    </row>
    <row r="77" spans="1:10" x14ac:dyDescent="0.3">
      <c r="A77" s="71" t="s">
        <v>619</v>
      </c>
      <c r="B77" s="71" t="s">
        <v>701</v>
      </c>
      <c r="C77" s="71" t="s">
        <v>702</v>
      </c>
      <c r="D77" s="71" t="s">
        <v>703</v>
      </c>
    </row>
    <row r="78" spans="1:10" x14ac:dyDescent="0.3">
      <c r="A78" s="7" t="str">
        <f>Districts_Setup!$B$4</f>
        <v>Ahmedabad</v>
      </c>
      <c r="B78" s="54">
        <f>IFERROR(AVERAGE(PARAKH_By_Gender!B5,PARAKH_By_Gender!D5,PARAKH_By_Gender!F5,PARAKH_By_Gender!H5,PARAKH_By_Gender!J5,PARAKH_By_Gender!L5,PARAKH_By_Gender!N5,PARAKH_By_Gender!P5,PARAKH_By_Gender!R5),0)</f>
        <v>0.44222222222222224</v>
      </c>
      <c r="C78" s="54">
        <f>IFERROR(AVERAGE(PARAKH_By_Gender!C5,PARAKH_By_Gender!E5,PARAKH_By_Gender!G5,PARAKH_By_Gender!I5,PARAKH_By_Gender!K5,PARAKH_By_Gender!M5,PARAKH_By_Gender!O5,PARAKH_By_Gender!Q5,PARAKH_By_Gender!S5),0)</f>
        <v>0.46444444444444444</v>
      </c>
      <c r="D78" s="70">
        <f t="shared" ref="D78:D110" si="1">B78-C78</f>
        <v>-2.2222222222222199E-2</v>
      </c>
    </row>
    <row r="79" spans="1:10" x14ac:dyDescent="0.3">
      <c r="A79" s="7" t="str">
        <f>Districts_Setup!$B$5</f>
        <v>Amreli</v>
      </c>
      <c r="B79" s="54">
        <f>IFERROR(AVERAGE(PARAKH_By_Gender!B6,PARAKH_By_Gender!D6,PARAKH_By_Gender!F6,PARAKH_By_Gender!H6,PARAKH_By_Gender!J6,PARAKH_By_Gender!L6,PARAKH_By_Gender!N6,PARAKH_By_Gender!P6,PARAKH_By_Gender!R6),0)</f>
        <v>0.41</v>
      </c>
      <c r="C79" s="54">
        <f>IFERROR(AVERAGE(PARAKH_By_Gender!C6,PARAKH_By_Gender!E6,PARAKH_By_Gender!G6,PARAKH_By_Gender!I6,PARAKH_By_Gender!K6,PARAKH_By_Gender!M6,PARAKH_By_Gender!O6,PARAKH_By_Gender!Q6,PARAKH_By_Gender!S6),0)</f>
        <v>0.44333333333333336</v>
      </c>
      <c r="D79" s="70">
        <f t="shared" si="1"/>
        <v>-3.3333333333333381E-2</v>
      </c>
    </row>
    <row r="80" spans="1:10" x14ac:dyDescent="0.3">
      <c r="A80" s="7" t="str">
        <f>Districts_Setup!$B$6</f>
        <v>Anand</v>
      </c>
      <c r="B80" s="54">
        <f>IFERROR(AVERAGE(PARAKH_By_Gender!B7,PARAKH_By_Gender!D7,PARAKH_By_Gender!F7,PARAKH_By_Gender!H7,PARAKH_By_Gender!J7,PARAKH_By_Gender!L7,PARAKH_By_Gender!N7,PARAKH_By_Gender!P7,PARAKH_By_Gender!R7),0)</f>
        <v>0.43666666666666665</v>
      </c>
      <c r="C80" s="54">
        <f>IFERROR(AVERAGE(PARAKH_By_Gender!C7,PARAKH_By_Gender!E7,PARAKH_By_Gender!G7,PARAKH_By_Gender!I7,PARAKH_By_Gender!K7,PARAKH_By_Gender!M7,PARAKH_By_Gender!O7,PARAKH_By_Gender!Q7,PARAKH_By_Gender!S7),0)</f>
        <v>0.46333333333333343</v>
      </c>
      <c r="D80" s="70">
        <f t="shared" si="1"/>
        <v>-2.6666666666666783E-2</v>
      </c>
    </row>
    <row r="81" spans="1:4" x14ac:dyDescent="0.3">
      <c r="A81" s="7" t="str">
        <f>Districts_Setup!$B$7</f>
        <v>Aravalli</v>
      </c>
      <c r="B81" s="54">
        <f>IFERROR(AVERAGE(PARAKH_By_Gender!B8,PARAKH_By_Gender!D8,PARAKH_By_Gender!F8,PARAKH_By_Gender!H8,PARAKH_By_Gender!J8,PARAKH_By_Gender!L8,PARAKH_By_Gender!N8,PARAKH_By_Gender!P8,PARAKH_By_Gender!R8),0)</f>
        <v>0.40777777777777774</v>
      </c>
      <c r="C81" s="54">
        <f>IFERROR(AVERAGE(PARAKH_By_Gender!C8,PARAKH_By_Gender!E8,PARAKH_By_Gender!G8,PARAKH_By_Gender!I8,PARAKH_By_Gender!K8,PARAKH_By_Gender!M8,PARAKH_By_Gender!O8,PARAKH_By_Gender!Q8,PARAKH_By_Gender!S8),0)</f>
        <v>0.42888888888888893</v>
      </c>
      <c r="D81" s="70">
        <f t="shared" si="1"/>
        <v>-2.1111111111111192E-2</v>
      </c>
    </row>
    <row r="82" spans="1:4" x14ac:dyDescent="0.3">
      <c r="A82" s="7" t="str">
        <f>Districts_Setup!$B$8</f>
        <v>Banaskantha</v>
      </c>
      <c r="B82" s="54">
        <f>IFERROR(AVERAGE(PARAKH_By_Gender!B9,PARAKH_By_Gender!D9,PARAKH_By_Gender!F9,PARAKH_By_Gender!H9,PARAKH_By_Gender!J9,PARAKH_By_Gender!L9,PARAKH_By_Gender!N9,PARAKH_By_Gender!P9,PARAKH_By_Gender!R9),0)</f>
        <v>0.44111111111111112</v>
      </c>
      <c r="C82" s="54">
        <f>IFERROR(AVERAGE(PARAKH_By_Gender!C9,PARAKH_By_Gender!E9,PARAKH_By_Gender!G9,PARAKH_By_Gender!I9,PARAKH_By_Gender!K9,PARAKH_By_Gender!M9,PARAKH_By_Gender!O9,PARAKH_By_Gender!Q9,PARAKH_By_Gender!S9),0)</f>
        <v>0.45222222222222225</v>
      </c>
      <c r="D82" s="70">
        <f t="shared" si="1"/>
        <v>-1.1111111111111127E-2</v>
      </c>
    </row>
    <row r="83" spans="1:4" x14ac:dyDescent="0.3">
      <c r="A83" s="7" t="str">
        <f>Districts_Setup!$B$9</f>
        <v>Bharuch</v>
      </c>
      <c r="B83" s="54">
        <f>IFERROR(AVERAGE(PARAKH_By_Gender!B10,PARAKH_By_Gender!D10,PARAKH_By_Gender!F10,PARAKH_By_Gender!H10,PARAKH_By_Gender!J10,PARAKH_By_Gender!L10,PARAKH_By_Gender!N10,PARAKH_By_Gender!P10,PARAKH_By_Gender!R10),0)</f>
        <v>0.4211111111111111</v>
      </c>
      <c r="C83" s="54">
        <f>IFERROR(AVERAGE(PARAKH_By_Gender!C10,PARAKH_By_Gender!E10,PARAKH_By_Gender!G10,PARAKH_By_Gender!I10,PARAKH_By_Gender!K10,PARAKH_By_Gender!M10,PARAKH_By_Gender!O10,PARAKH_By_Gender!Q10,PARAKH_By_Gender!S10),0)</f>
        <v>0.4588888888888889</v>
      </c>
      <c r="D83" s="70">
        <f t="shared" si="1"/>
        <v>-3.7777777777777799E-2</v>
      </c>
    </row>
    <row r="84" spans="1:4" x14ac:dyDescent="0.3">
      <c r="A84" s="7" t="str">
        <f>Districts_Setup!$B$10</f>
        <v>Bhavnagar</v>
      </c>
      <c r="B84" s="54">
        <f>IFERROR(AVERAGE(PARAKH_By_Gender!B11,PARAKH_By_Gender!D11,PARAKH_By_Gender!F11,PARAKH_By_Gender!H11,PARAKH_By_Gender!J11,PARAKH_By_Gender!L11,PARAKH_By_Gender!N11,PARAKH_By_Gender!P11,PARAKH_By_Gender!R11),0)</f>
        <v>0.46444444444444444</v>
      </c>
      <c r="C84" s="54">
        <f>IFERROR(AVERAGE(PARAKH_By_Gender!C11,PARAKH_By_Gender!E11,PARAKH_By_Gender!G11,PARAKH_By_Gender!I11,PARAKH_By_Gender!K11,PARAKH_By_Gender!M11,PARAKH_By_Gender!O11,PARAKH_By_Gender!Q11,PARAKH_By_Gender!S11),0)</f>
        <v>0.48000000000000004</v>
      </c>
      <c r="D84" s="70">
        <f t="shared" si="1"/>
        <v>-1.55555555555556E-2</v>
      </c>
    </row>
    <row r="85" spans="1:4" x14ac:dyDescent="0.3">
      <c r="A85" s="7" t="str">
        <f>Districts_Setup!$B$11</f>
        <v>Botad</v>
      </c>
      <c r="B85" s="54">
        <f>IFERROR(AVERAGE(PARAKH_By_Gender!B12,PARAKH_By_Gender!D12,PARAKH_By_Gender!F12,PARAKH_By_Gender!H12,PARAKH_By_Gender!J12,PARAKH_By_Gender!L12,PARAKH_By_Gender!N12,PARAKH_By_Gender!P12,PARAKH_By_Gender!R12),0)</f>
        <v>0.41888888888888887</v>
      </c>
      <c r="C85" s="54">
        <f>IFERROR(AVERAGE(PARAKH_By_Gender!C12,PARAKH_By_Gender!E12,PARAKH_By_Gender!G12,PARAKH_By_Gender!I12,PARAKH_By_Gender!K12,PARAKH_By_Gender!M12,PARAKH_By_Gender!O12,PARAKH_By_Gender!Q12,PARAKH_By_Gender!S12),0)</f>
        <v>0.46666666666666667</v>
      </c>
      <c r="D85" s="70">
        <f t="shared" si="1"/>
        <v>-4.7777777777777808E-2</v>
      </c>
    </row>
    <row r="86" spans="1:4" x14ac:dyDescent="0.3">
      <c r="A86" s="7" t="str">
        <f>Districts_Setup!$B$12</f>
        <v>Chhota Udepur</v>
      </c>
      <c r="B86" s="54">
        <f>IFERROR(AVERAGE(PARAKH_By_Gender!B13,PARAKH_By_Gender!D13,PARAKH_By_Gender!F13,PARAKH_By_Gender!H13,PARAKH_By_Gender!J13,PARAKH_By_Gender!L13,PARAKH_By_Gender!N13,PARAKH_By_Gender!P13,PARAKH_By_Gender!R13),0)</f>
        <v>0.40111111111111103</v>
      </c>
      <c r="C86" s="54">
        <f>IFERROR(AVERAGE(PARAKH_By_Gender!C13,PARAKH_By_Gender!E13,PARAKH_By_Gender!G13,PARAKH_By_Gender!I13,PARAKH_By_Gender!K13,PARAKH_By_Gender!M13,PARAKH_By_Gender!O13,PARAKH_By_Gender!Q13,PARAKH_By_Gender!S13),0)</f>
        <v>0.4044444444444445</v>
      </c>
      <c r="D86" s="70">
        <f t="shared" si="1"/>
        <v>-3.3333333333334658E-3</v>
      </c>
    </row>
    <row r="87" spans="1:4" x14ac:dyDescent="0.3">
      <c r="A87" s="7" t="str">
        <f>Districts_Setup!$B$13</f>
        <v>Dahod</v>
      </c>
      <c r="B87" s="54">
        <f>IFERROR(AVERAGE(PARAKH_By_Gender!B14,PARAKH_By_Gender!D14,PARAKH_By_Gender!F14,PARAKH_By_Gender!H14,PARAKH_By_Gender!J14,PARAKH_By_Gender!L14,PARAKH_By_Gender!N14,PARAKH_By_Gender!P14,PARAKH_By_Gender!R14),0)</f>
        <v>0.41666666666666669</v>
      </c>
      <c r="C87" s="54">
        <f>IFERROR(AVERAGE(PARAKH_By_Gender!C14,PARAKH_By_Gender!E14,PARAKH_By_Gender!G14,PARAKH_By_Gender!I14,PARAKH_By_Gender!K14,PARAKH_By_Gender!M14,PARAKH_By_Gender!O14,PARAKH_By_Gender!Q14,PARAKH_By_Gender!S14),0)</f>
        <v>0.43111111111111111</v>
      </c>
      <c r="D87" s="70">
        <f t="shared" si="1"/>
        <v>-1.4444444444444426E-2</v>
      </c>
    </row>
    <row r="88" spans="1:4" x14ac:dyDescent="0.3">
      <c r="A88" s="7" t="str">
        <f>Districts_Setup!$B$14</f>
        <v>Dang</v>
      </c>
      <c r="B88" s="54">
        <f>IFERROR(AVERAGE(PARAKH_By_Gender!B15,PARAKH_By_Gender!D15,PARAKH_By_Gender!F15,PARAKH_By_Gender!H15,PARAKH_By_Gender!J15,PARAKH_By_Gender!L15,PARAKH_By_Gender!N15,PARAKH_By_Gender!P15,PARAKH_By_Gender!R15),0)</f>
        <v>0.42555555555555563</v>
      </c>
      <c r="C88" s="54">
        <f>IFERROR(AVERAGE(PARAKH_By_Gender!C15,PARAKH_By_Gender!E15,PARAKH_By_Gender!G15,PARAKH_By_Gender!I15,PARAKH_By_Gender!K15,PARAKH_By_Gender!M15,PARAKH_By_Gender!O15,PARAKH_By_Gender!Q15,PARAKH_By_Gender!S15),0)</f>
        <v>0.45111111111111107</v>
      </c>
      <c r="D88" s="70">
        <f t="shared" si="1"/>
        <v>-2.5555555555555443E-2</v>
      </c>
    </row>
    <row r="89" spans="1:4" x14ac:dyDescent="0.3">
      <c r="A89" s="7" t="str">
        <f>Districts_Setup!$B$15</f>
        <v>Devbhoomi Dwarka</v>
      </c>
      <c r="B89" s="54">
        <f>IFERROR(AVERAGE(PARAKH_By_Gender!B16,PARAKH_By_Gender!D16,PARAKH_By_Gender!F16,PARAKH_By_Gender!H16,PARAKH_By_Gender!J16,PARAKH_By_Gender!L16,PARAKH_By_Gender!N16,PARAKH_By_Gender!P16,PARAKH_By_Gender!R16),0)</f>
        <v>0.45444444444444443</v>
      </c>
      <c r="C89" s="54">
        <f>IFERROR(AVERAGE(PARAKH_By_Gender!C16,PARAKH_By_Gender!E16,PARAKH_By_Gender!G16,PARAKH_By_Gender!I16,PARAKH_By_Gender!K16,PARAKH_By_Gender!M16,PARAKH_By_Gender!O16,PARAKH_By_Gender!Q16,PARAKH_By_Gender!S16),0)</f>
        <v>0.48888888888888882</v>
      </c>
      <c r="D89" s="70">
        <f t="shared" si="1"/>
        <v>-3.4444444444444389E-2</v>
      </c>
    </row>
    <row r="90" spans="1:4" x14ac:dyDescent="0.3">
      <c r="A90" s="7" t="str">
        <f>Districts_Setup!$B$16</f>
        <v>Gandhinagar</v>
      </c>
      <c r="B90" s="54">
        <f>IFERROR(AVERAGE(PARAKH_By_Gender!B17,PARAKH_By_Gender!D17,PARAKH_By_Gender!F17,PARAKH_By_Gender!H17,PARAKH_By_Gender!J17,PARAKH_By_Gender!L17,PARAKH_By_Gender!N17,PARAKH_By_Gender!P17,PARAKH_By_Gender!R17),0)</f>
        <v>0.48888888888888893</v>
      </c>
      <c r="C90" s="54">
        <f>IFERROR(AVERAGE(PARAKH_By_Gender!C17,PARAKH_By_Gender!E17,PARAKH_By_Gender!G17,PARAKH_By_Gender!I17,PARAKH_By_Gender!K17,PARAKH_By_Gender!M17,PARAKH_By_Gender!O17,PARAKH_By_Gender!Q17,PARAKH_By_Gender!S17),0)</f>
        <v>0.51888888888888884</v>
      </c>
      <c r="D90" s="70">
        <f t="shared" si="1"/>
        <v>-2.9999999999999916E-2</v>
      </c>
    </row>
    <row r="91" spans="1:4" x14ac:dyDescent="0.3">
      <c r="A91" s="7" t="str">
        <f>Districts_Setup!$B$17</f>
        <v>Gir Somnath</v>
      </c>
      <c r="B91" s="54">
        <f>IFERROR(AVERAGE(PARAKH_By_Gender!B18,PARAKH_By_Gender!D18,PARAKH_By_Gender!F18,PARAKH_By_Gender!H18,PARAKH_By_Gender!J18,PARAKH_By_Gender!L18,PARAKH_By_Gender!N18,PARAKH_By_Gender!P18,PARAKH_By_Gender!R18),0)</f>
        <v>0.40444444444444438</v>
      </c>
      <c r="C91" s="54">
        <f>IFERROR(AVERAGE(PARAKH_By_Gender!C18,PARAKH_By_Gender!E18,PARAKH_By_Gender!G18,PARAKH_By_Gender!I18,PARAKH_By_Gender!K18,PARAKH_By_Gender!M18,PARAKH_By_Gender!O18,PARAKH_By_Gender!Q18,PARAKH_By_Gender!S18),0)</f>
        <v>0.41444444444444445</v>
      </c>
      <c r="D91" s="70">
        <f t="shared" si="1"/>
        <v>-1.0000000000000064E-2</v>
      </c>
    </row>
    <row r="92" spans="1:4" x14ac:dyDescent="0.3">
      <c r="A92" s="7" t="str">
        <f>Districts_Setup!$B$18</f>
        <v>Jamnagar</v>
      </c>
      <c r="B92" s="54">
        <f>IFERROR(AVERAGE(PARAKH_By_Gender!B19,PARAKH_By_Gender!D19,PARAKH_By_Gender!F19,PARAKH_By_Gender!H19,PARAKH_By_Gender!J19,PARAKH_By_Gender!L19,PARAKH_By_Gender!N19,PARAKH_By_Gender!P19,PARAKH_By_Gender!R19),0)</f>
        <v>0.42000000000000004</v>
      </c>
      <c r="C92" s="54">
        <f>IFERROR(AVERAGE(PARAKH_By_Gender!C19,PARAKH_By_Gender!E19,PARAKH_By_Gender!G19,PARAKH_By_Gender!I19,PARAKH_By_Gender!K19,PARAKH_By_Gender!M19,PARAKH_By_Gender!O19,PARAKH_By_Gender!Q19,PARAKH_By_Gender!S19),0)</f>
        <v>0.46222222222222226</v>
      </c>
      <c r="D92" s="70">
        <f t="shared" si="1"/>
        <v>-4.2222222222222217E-2</v>
      </c>
    </row>
    <row r="93" spans="1:4" x14ac:dyDescent="0.3">
      <c r="A93" s="7" t="str">
        <f>Districts_Setup!$B$19</f>
        <v>Junagadh</v>
      </c>
      <c r="B93" s="54">
        <f>IFERROR(AVERAGE(PARAKH_By_Gender!B20,PARAKH_By_Gender!D20,PARAKH_By_Gender!F20,PARAKH_By_Gender!H20,PARAKH_By_Gender!J20,PARAKH_By_Gender!L20,PARAKH_By_Gender!N20,PARAKH_By_Gender!P20,PARAKH_By_Gender!R20),0)</f>
        <v>0.46333333333333332</v>
      </c>
      <c r="C93" s="54">
        <f>IFERROR(AVERAGE(PARAKH_By_Gender!C20,PARAKH_By_Gender!E20,PARAKH_By_Gender!G20,PARAKH_By_Gender!I20,PARAKH_By_Gender!K20,PARAKH_By_Gender!M20,PARAKH_By_Gender!O20,PARAKH_By_Gender!Q20,PARAKH_By_Gender!S20),0)</f>
        <v>0.46555555555555561</v>
      </c>
      <c r="D93" s="70">
        <f t="shared" si="1"/>
        <v>-2.222222222222292E-3</v>
      </c>
    </row>
    <row r="94" spans="1:4" x14ac:dyDescent="0.3">
      <c r="A94" s="7" t="str">
        <f>Districts_Setup!$B$20</f>
        <v>Kutch</v>
      </c>
      <c r="B94" s="54">
        <f>IFERROR(AVERAGE(PARAKH_By_Gender!B21,PARAKH_By_Gender!D21,PARAKH_By_Gender!F21,PARAKH_By_Gender!H21,PARAKH_By_Gender!J21,PARAKH_By_Gender!L21,PARAKH_By_Gender!N21,PARAKH_By_Gender!P21,PARAKH_By_Gender!R21),0)</f>
        <v>0.43111111111111111</v>
      </c>
      <c r="C94" s="54">
        <f>IFERROR(AVERAGE(PARAKH_By_Gender!C21,PARAKH_By_Gender!E21,PARAKH_By_Gender!G21,PARAKH_By_Gender!I21,PARAKH_By_Gender!K21,PARAKH_By_Gender!M21,PARAKH_By_Gender!O21,PARAKH_By_Gender!Q21,PARAKH_By_Gender!S21),0)</f>
        <v>0.46777777777777779</v>
      </c>
      <c r="D94" s="70">
        <f t="shared" si="1"/>
        <v>-3.6666666666666681E-2</v>
      </c>
    </row>
    <row r="95" spans="1:4" x14ac:dyDescent="0.3">
      <c r="A95" s="7" t="str">
        <f>Districts_Setup!$B$21</f>
        <v>Kheda</v>
      </c>
      <c r="B95" s="54">
        <f>IFERROR(AVERAGE(PARAKH_By_Gender!B22,PARAKH_By_Gender!D22,PARAKH_By_Gender!F22,PARAKH_By_Gender!H22,PARAKH_By_Gender!J22,PARAKH_By_Gender!L22,PARAKH_By_Gender!N22,PARAKH_By_Gender!P22,PARAKH_By_Gender!R22),0)</f>
        <v>0.3855555555555556</v>
      </c>
      <c r="C95" s="54">
        <f>IFERROR(AVERAGE(PARAKH_By_Gender!C22,PARAKH_By_Gender!E22,PARAKH_By_Gender!G22,PARAKH_By_Gender!I22,PARAKH_By_Gender!K22,PARAKH_By_Gender!M22,PARAKH_By_Gender!O22,PARAKH_By_Gender!Q22,PARAKH_By_Gender!S22),0)</f>
        <v>0.43000000000000005</v>
      </c>
      <c r="D95" s="70">
        <f t="shared" si="1"/>
        <v>-4.4444444444444453E-2</v>
      </c>
    </row>
    <row r="96" spans="1:4" x14ac:dyDescent="0.3">
      <c r="A96" s="7" t="str">
        <f>Districts_Setup!$B$22</f>
        <v>Mahisagar</v>
      </c>
      <c r="B96" s="54">
        <f>IFERROR(AVERAGE(PARAKH_By_Gender!B23,PARAKH_By_Gender!D23,PARAKH_By_Gender!F23,PARAKH_By_Gender!H23,PARAKH_By_Gender!J23,PARAKH_By_Gender!L23,PARAKH_By_Gender!N23,PARAKH_By_Gender!P23,PARAKH_By_Gender!R23),0)</f>
        <v>0.42444444444444446</v>
      </c>
      <c r="C96" s="54">
        <f>IFERROR(AVERAGE(PARAKH_By_Gender!C23,PARAKH_By_Gender!E23,PARAKH_By_Gender!G23,PARAKH_By_Gender!I23,PARAKH_By_Gender!K23,PARAKH_By_Gender!M23,PARAKH_By_Gender!O23,PARAKH_By_Gender!Q23,PARAKH_By_Gender!S23),0)</f>
        <v>0.43888888888888888</v>
      </c>
      <c r="D96" s="70">
        <f t="shared" si="1"/>
        <v>-1.4444444444444426E-2</v>
      </c>
    </row>
    <row r="97" spans="1:4" x14ac:dyDescent="0.3">
      <c r="A97" s="7" t="str">
        <f>Districts_Setup!$B$23</f>
        <v>Mehsana</v>
      </c>
      <c r="B97" s="54">
        <f>IFERROR(AVERAGE(PARAKH_By_Gender!B24,PARAKH_By_Gender!D24,PARAKH_By_Gender!F24,PARAKH_By_Gender!H24,PARAKH_By_Gender!J24,PARAKH_By_Gender!L24,PARAKH_By_Gender!N24,PARAKH_By_Gender!P24,PARAKH_By_Gender!R24),0)</f>
        <v>0.43777777777777777</v>
      </c>
      <c r="C97" s="54">
        <f>IFERROR(AVERAGE(PARAKH_By_Gender!C24,PARAKH_By_Gender!E24,PARAKH_By_Gender!G24,PARAKH_By_Gender!I24,PARAKH_By_Gender!K24,PARAKH_By_Gender!M24,PARAKH_By_Gender!O24,PARAKH_By_Gender!Q24,PARAKH_By_Gender!S24),0)</f>
        <v>0.47777777777777775</v>
      </c>
      <c r="D97" s="70">
        <f t="shared" si="1"/>
        <v>-3.999999999999998E-2</v>
      </c>
    </row>
    <row r="98" spans="1:4" x14ac:dyDescent="0.3">
      <c r="A98" s="7" t="str">
        <f>Districts_Setup!$B$24</f>
        <v>Morbi</v>
      </c>
      <c r="B98" s="54">
        <f>IFERROR(AVERAGE(PARAKH_By_Gender!B25,PARAKH_By_Gender!D25,PARAKH_By_Gender!F25,PARAKH_By_Gender!H25,PARAKH_By_Gender!J25,PARAKH_By_Gender!L25,PARAKH_By_Gender!N25,PARAKH_By_Gender!P25,PARAKH_By_Gender!R25),0)</f>
        <v>0.44000000000000006</v>
      </c>
      <c r="C98" s="54">
        <f>IFERROR(AVERAGE(PARAKH_By_Gender!C25,PARAKH_By_Gender!E25,PARAKH_By_Gender!G25,PARAKH_By_Gender!I25,PARAKH_By_Gender!K25,PARAKH_By_Gender!M25,PARAKH_By_Gender!O25,PARAKH_By_Gender!Q25,PARAKH_By_Gender!S25),0)</f>
        <v>0.46222222222222226</v>
      </c>
      <c r="D98" s="70">
        <f t="shared" si="1"/>
        <v>-2.2222222222222199E-2</v>
      </c>
    </row>
    <row r="99" spans="1:4" x14ac:dyDescent="0.3">
      <c r="A99" s="7" t="str">
        <f>Districts_Setup!$B$25</f>
        <v>Narmada</v>
      </c>
      <c r="B99" s="54">
        <f>IFERROR(AVERAGE(PARAKH_By_Gender!B26,PARAKH_By_Gender!D26,PARAKH_By_Gender!F26,PARAKH_By_Gender!H26,PARAKH_By_Gender!J26,PARAKH_By_Gender!L26,PARAKH_By_Gender!N26,PARAKH_By_Gender!P26,PARAKH_By_Gender!R26),0)</f>
        <v>0.42555555555555558</v>
      </c>
      <c r="C99" s="54">
        <f>IFERROR(AVERAGE(PARAKH_By_Gender!C26,PARAKH_By_Gender!E26,PARAKH_By_Gender!G26,PARAKH_By_Gender!I26,PARAKH_By_Gender!K26,PARAKH_By_Gender!M26,PARAKH_By_Gender!O26,PARAKH_By_Gender!Q26,PARAKH_By_Gender!S26),0)</f>
        <v>0.44222222222222229</v>
      </c>
      <c r="D99" s="70">
        <f t="shared" si="1"/>
        <v>-1.6666666666666718E-2</v>
      </c>
    </row>
    <row r="100" spans="1:4" x14ac:dyDescent="0.3">
      <c r="A100" s="7" t="str">
        <f>Districts_Setup!$B$26</f>
        <v>Navsari</v>
      </c>
      <c r="B100" s="54">
        <f>IFERROR(AVERAGE(PARAKH_By_Gender!B27,PARAKH_By_Gender!D27,PARAKH_By_Gender!F27,PARAKH_By_Gender!H27,PARAKH_By_Gender!J27,PARAKH_By_Gender!L27,PARAKH_By_Gender!N27,PARAKH_By_Gender!P27,PARAKH_By_Gender!R27),0)</f>
        <v>0.44</v>
      </c>
      <c r="C100" s="54">
        <f>IFERROR(AVERAGE(PARAKH_By_Gender!C27,PARAKH_By_Gender!E27,PARAKH_By_Gender!G27,PARAKH_By_Gender!I27,PARAKH_By_Gender!K27,PARAKH_By_Gender!M27,PARAKH_By_Gender!O27,PARAKH_By_Gender!Q27,PARAKH_By_Gender!S27),0)</f>
        <v>0.46666666666666667</v>
      </c>
      <c r="D100" s="70">
        <f t="shared" si="1"/>
        <v>-2.6666666666666672E-2</v>
      </c>
    </row>
    <row r="101" spans="1:4" x14ac:dyDescent="0.3">
      <c r="A101" s="7" t="str">
        <f>Districts_Setup!$B$27</f>
        <v>Panchmahal</v>
      </c>
      <c r="B101" s="54">
        <f>IFERROR(AVERAGE(PARAKH_By_Gender!B28,PARAKH_By_Gender!D28,PARAKH_By_Gender!F28,PARAKH_By_Gender!H28,PARAKH_By_Gender!J28,PARAKH_By_Gender!L28,PARAKH_By_Gender!N28,PARAKH_By_Gender!P28,PARAKH_By_Gender!R28),0)</f>
        <v>0.44000000000000006</v>
      </c>
      <c r="C101" s="54">
        <f>IFERROR(AVERAGE(PARAKH_By_Gender!C28,PARAKH_By_Gender!E28,PARAKH_By_Gender!G28,PARAKH_By_Gender!I28,PARAKH_By_Gender!K28,PARAKH_By_Gender!M28,PARAKH_By_Gender!O28,PARAKH_By_Gender!Q28,PARAKH_By_Gender!S28),0)</f>
        <v>0.44777777777777783</v>
      </c>
      <c r="D101" s="70">
        <f t="shared" si="1"/>
        <v>-7.7777777777777724E-3</v>
      </c>
    </row>
    <row r="102" spans="1:4" x14ac:dyDescent="0.3">
      <c r="A102" s="7" t="str">
        <f>Districts_Setup!$B$28</f>
        <v>Patan</v>
      </c>
      <c r="B102" s="54">
        <f>IFERROR(AVERAGE(PARAKH_By_Gender!B29,PARAKH_By_Gender!D29,PARAKH_By_Gender!F29,PARAKH_By_Gender!H29,PARAKH_By_Gender!J29,PARAKH_By_Gender!L29,PARAKH_By_Gender!N29,PARAKH_By_Gender!P29,PARAKH_By_Gender!R29),0)</f>
        <v>0.42666666666666669</v>
      </c>
      <c r="C102" s="54">
        <f>IFERROR(AVERAGE(PARAKH_By_Gender!C29,PARAKH_By_Gender!E29,PARAKH_By_Gender!G29,PARAKH_By_Gender!I29,PARAKH_By_Gender!K29,PARAKH_By_Gender!M29,PARAKH_By_Gender!O29,PARAKH_By_Gender!Q29,PARAKH_By_Gender!S29),0)</f>
        <v>0.45333333333333337</v>
      </c>
      <c r="D102" s="70">
        <f t="shared" si="1"/>
        <v>-2.6666666666666672E-2</v>
      </c>
    </row>
    <row r="103" spans="1:4" x14ac:dyDescent="0.3">
      <c r="A103" s="7" t="str">
        <f>Districts_Setup!$B$29</f>
        <v>Porbandar</v>
      </c>
      <c r="B103" s="54">
        <f>IFERROR(AVERAGE(PARAKH_By_Gender!B30,PARAKH_By_Gender!D30,PARAKH_By_Gender!F30,PARAKH_By_Gender!H30,PARAKH_By_Gender!J30,PARAKH_By_Gender!L30,PARAKH_By_Gender!N30,PARAKH_By_Gender!P30,PARAKH_By_Gender!R30),0)</f>
        <v>0.40777777777777774</v>
      </c>
      <c r="C103" s="54">
        <f>IFERROR(AVERAGE(PARAKH_By_Gender!C30,PARAKH_By_Gender!E30,PARAKH_By_Gender!G30,PARAKH_By_Gender!I30,PARAKH_By_Gender!K30,PARAKH_By_Gender!M30,PARAKH_By_Gender!O30,PARAKH_By_Gender!Q30,PARAKH_By_Gender!S30),0)</f>
        <v>0.45333333333333337</v>
      </c>
      <c r="D103" s="70">
        <f t="shared" si="1"/>
        <v>-4.5555555555555627E-2</v>
      </c>
    </row>
    <row r="104" spans="1:4" x14ac:dyDescent="0.3">
      <c r="A104" s="7" t="str">
        <f>Districts_Setup!$B$30</f>
        <v>Rajkot</v>
      </c>
      <c r="B104" s="54">
        <f>IFERROR(AVERAGE(PARAKH_By_Gender!B31,PARAKH_By_Gender!D31,PARAKH_By_Gender!F31,PARAKH_By_Gender!H31,PARAKH_By_Gender!J31,PARAKH_By_Gender!L31,PARAKH_By_Gender!N31,PARAKH_By_Gender!P31,PARAKH_By_Gender!R31),0)</f>
        <v>0.4466666666666666</v>
      </c>
      <c r="C104" s="54">
        <f>IFERROR(AVERAGE(PARAKH_By_Gender!C31,PARAKH_By_Gender!E31,PARAKH_By_Gender!G31,PARAKH_By_Gender!I31,PARAKH_By_Gender!K31,PARAKH_By_Gender!M31,PARAKH_By_Gender!O31,PARAKH_By_Gender!Q31,PARAKH_By_Gender!S31),0)</f>
        <v>0.46111111111111114</v>
      </c>
      <c r="D104" s="70">
        <f t="shared" si="1"/>
        <v>-1.4444444444444537E-2</v>
      </c>
    </row>
    <row r="105" spans="1:4" x14ac:dyDescent="0.3">
      <c r="A105" s="7" t="str">
        <f>Districts_Setup!$B$31</f>
        <v>Sabarkantha</v>
      </c>
      <c r="B105" s="54">
        <f>IFERROR(AVERAGE(PARAKH_By_Gender!B32,PARAKH_By_Gender!D32,PARAKH_By_Gender!F32,PARAKH_By_Gender!H32,PARAKH_By_Gender!J32,PARAKH_By_Gender!L32,PARAKH_By_Gender!N32,PARAKH_By_Gender!P32,PARAKH_By_Gender!R32),0)</f>
        <v>0.44222222222222218</v>
      </c>
      <c r="C105" s="54">
        <f>IFERROR(AVERAGE(PARAKH_By_Gender!C32,PARAKH_By_Gender!E32,PARAKH_By_Gender!G32,PARAKH_By_Gender!I32,PARAKH_By_Gender!K32,PARAKH_By_Gender!M32,PARAKH_By_Gender!O32,PARAKH_By_Gender!Q32,PARAKH_By_Gender!S32),0)</f>
        <v>0.46444444444444449</v>
      </c>
      <c r="D105" s="70">
        <f t="shared" si="1"/>
        <v>-2.222222222222231E-2</v>
      </c>
    </row>
    <row r="106" spans="1:4" x14ac:dyDescent="0.3">
      <c r="A106" s="7" t="str">
        <f>Districts_Setup!$B$32</f>
        <v>Surat</v>
      </c>
      <c r="B106" s="54">
        <f>IFERROR(AVERAGE(PARAKH_By_Gender!B33,PARAKH_By_Gender!D33,PARAKH_By_Gender!F33,PARAKH_By_Gender!H33,PARAKH_By_Gender!J33,PARAKH_By_Gender!L33,PARAKH_By_Gender!N33,PARAKH_By_Gender!P33,PARAKH_By_Gender!R33),0)</f>
        <v>0.46666666666666667</v>
      </c>
      <c r="C106" s="54">
        <f>IFERROR(AVERAGE(PARAKH_By_Gender!C33,PARAKH_By_Gender!E33,PARAKH_By_Gender!G33,PARAKH_By_Gender!I33,PARAKH_By_Gender!K33,PARAKH_By_Gender!M33,PARAKH_By_Gender!O33,PARAKH_By_Gender!Q33,PARAKH_By_Gender!S33),0)</f>
        <v>0.47444444444444439</v>
      </c>
      <c r="D106" s="70">
        <f t="shared" si="1"/>
        <v>-7.7777777777777168E-3</v>
      </c>
    </row>
    <row r="107" spans="1:4" x14ac:dyDescent="0.3">
      <c r="A107" s="7" t="str">
        <f>Districts_Setup!$B$33</f>
        <v>Surendranagar</v>
      </c>
      <c r="B107" s="54">
        <f>IFERROR(AVERAGE(PARAKH_By_Gender!B34,PARAKH_By_Gender!D34,PARAKH_By_Gender!F34,PARAKH_By_Gender!H34,PARAKH_By_Gender!J34,PARAKH_By_Gender!L34,PARAKH_By_Gender!N34,PARAKH_By_Gender!P34,PARAKH_By_Gender!R34),0)</f>
        <v>0.45111111111111118</v>
      </c>
      <c r="C107" s="54">
        <f>IFERROR(AVERAGE(PARAKH_By_Gender!C34,PARAKH_By_Gender!E34,PARAKH_By_Gender!G34,PARAKH_By_Gender!I34,PARAKH_By_Gender!K34,PARAKH_By_Gender!M34,PARAKH_By_Gender!O34,PARAKH_By_Gender!Q34,PARAKH_By_Gender!S34),0)</f>
        <v>0.47111111111111115</v>
      </c>
      <c r="D107" s="70">
        <f t="shared" si="1"/>
        <v>-1.9999999999999962E-2</v>
      </c>
    </row>
    <row r="108" spans="1:4" x14ac:dyDescent="0.3">
      <c r="A108" s="7" t="str">
        <f>Districts_Setup!$B$34</f>
        <v>Tapi</v>
      </c>
      <c r="B108" s="54">
        <f>IFERROR(AVERAGE(PARAKH_By_Gender!B35,PARAKH_By_Gender!D35,PARAKH_By_Gender!F35,PARAKH_By_Gender!H35,PARAKH_By_Gender!J35,PARAKH_By_Gender!L35,PARAKH_By_Gender!N35,PARAKH_By_Gender!P35,PARAKH_By_Gender!R35),0)</f>
        <v>0.45444444444444443</v>
      </c>
      <c r="C108" s="54">
        <f>IFERROR(AVERAGE(PARAKH_By_Gender!C35,PARAKH_By_Gender!E35,PARAKH_By_Gender!G35,PARAKH_By_Gender!I35,PARAKH_By_Gender!K35,PARAKH_By_Gender!M35,PARAKH_By_Gender!O35,PARAKH_By_Gender!Q35,PARAKH_By_Gender!S35),0)</f>
        <v>0.49555555555555564</v>
      </c>
      <c r="D108" s="70">
        <f t="shared" si="1"/>
        <v>-4.1111111111111209E-2</v>
      </c>
    </row>
    <row r="109" spans="1:4" x14ac:dyDescent="0.3">
      <c r="A109" s="7" t="str">
        <f>Districts_Setup!$B$35</f>
        <v>Vadodara</v>
      </c>
      <c r="B109" s="54">
        <f>IFERROR(AVERAGE(PARAKH_By_Gender!B36,PARAKH_By_Gender!D36,PARAKH_By_Gender!F36,PARAKH_By_Gender!H36,PARAKH_By_Gender!J36,PARAKH_By_Gender!L36,PARAKH_By_Gender!N36,PARAKH_By_Gender!P36,PARAKH_By_Gender!R36),0)</f>
        <v>0.44555555555555554</v>
      </c>
      <c r="C109" s="54">
        <f>IFERROR(AVERAGE(PARAKH_By_Gender!C36,PARAKH_By_Gender!E36,PARAKH_By_Gender!G36,PARAKH_By_Gender!I36,PARAKH_By_Gender!K36,PARAKH_By_Gender!M36,PARAKH_By_Gender!O36,PARAKH_By_Gender!Q36,PARAKH_By_Gender!S36),0)</f>
        <v>0.47777777777777775</v>
      </c>
      <c r="D109" s="70">
        <f t="shared" si="1"/>
        <v>-3.2222222222222208E-2</v>
      </c>
    </row>
    <row r="110" spans="1:4" x14ac:dyDescent="0.3">
      <c r="A110" s="7" t="str">
        <f>Districts_Setup!$B$36</f>
        <v>Valsad</v>
      </c>
      <c r="B110" s="54">
        <f>IFERROR(AVERAGE(PARAKH_By_Gender!B37,PARAKH_By_Gender!D37,PARAKH_By_Gender!F37,PARAKH_By_Gender!H37,PARAKH_By_Gender!J37,PARAKH_By_Gender!L37,PARAKH_By_Gender!N37,PARAKH_By_Gender!P37,PARAKH_By_Gender!R37),0)</f>
        <v>0.43666666666666665</v>
      </c>
      <c r="C110" s="54">
        <f>IFERROR(AVERAGE(PARAKH_By_Gender!C37,PARAKH_By_Gender!E37,PARAKH_By_Gender!G37,PARAKH_By_Gender!I37,PARAKH_By_Gender!K37,PARAKH_By_Gender!M37,PARAKH_By_Gender!O37,PARAKH_By_Gender!Q37,PARAKH_By_Gender!S37),0)</f>
        <v>0.46666666666666667</v>
      </c>
      <c r="D110" s="70">
        <f t="shared" si="1"/>
        <v>-3.0000000000000027E-2</v>
      </c>
    </row>
    <row r="112" spans="1:4" ht="15.6" x14ac:dyDescent="0.3">
      <c r="A112" s="35" t="s">
        <v>704</v>
      </c>
    </row>
    <row r="113" spans="1:4" ht="24" x14ac:dyDescent="0.3">
      <c r="A113" s="71" t="s">
        <v>619</v>
      </c>
      <c r="B113" s="71" t="s">
        <v>705</v>
      </c>
      <c r="C113" s="71" t="s">
        <v>706</v>
      </c>
      <c r="D113" s="71" t="s">
        <v>707</v>
      </c>
    </row>
    <row r="114" spans="1:4" x14ac:dyDescent="0.3">
      <c r="A114" s="7" t="str">
        <f>Districts_Setup!$B$4</f>
        <v>Ahmedabad</v>
      </c>
      <c r="B114" s="54">
        <f>IFERROR(AVERAGE(PARAKH_By_Location!B5,PARAKH_By_Location!D5,PARAKH_By_Location!F5,PARAKH_By_Location!H5,PARAKH_By_Location!J5,PARAKH_By_Location!L5,PARAKH_By_Location!N5,PARAKH_By_Location!P5,PARAKH_By_Location!R5),0)</f>
        <v>0.46888888888888886</v>
      </c>
      <c r="C114" s="54">
        <f>IFERROR(AVERAGE(PARAKH_By_Location!C5,PARAKH_By_Location!E5,PARAKH_By_Location!G5,PARAKH_By_Location!I5,PARAKH_By_Location!K5,PARAKH_By_Location!M5,PARAKH_By_Location!O5,PARAKH_By_Location!Q5,PARAKH_By_Location!S5),0)</f>
        <v>0.45444444444444443</v>
      </c>
      <c r="D114" s="70">
        <f t="shared" ref="D114:D146" si="2">C114-B114</f>
        <v>-1.4444444444444426E-2</v>
      </c>
    </row>
    <row r="115" spans="1:4" x14ac:dyDescent="0.3">
      <c r="A115" s="7" t="str">
        <f>Districts_Setup!$B$5</f>
        <v>Amreli</v>
      </c>
      <c r="B115" s="54">
        <f>IFERROR(AVERAGE(PARAKH_By_Location!B6,PARAKH_By_Location!D6,PARAKH_By_Location!F6,PARAKH_By_Location!H6,PARAKH_By_Location!J6,PARAKH_By_Location!L6,PARAKH_By_Location!N6,PARAKH_By_Location!P6,PARAKH_By_Location!R6),0)</f>
        <v>0.42888888888888893</v>
      </c>
      <c r="C115" s="54">
        <f>IFERROR(AVERAGE(PARAKH_By_Location!C6,PARAKH_By_Location!E6,PARAKH_By_Location!G6,PARAKH_By_Location!I6,PARAKH_By_Location!K6,PARAKH_By_Location!M6,PARAKH_By_Location!O6,PARAKH_By_Location!Q6,PARAKH_By_Location!S6),0)</f>
        <v>0.42333333333333334</v>
      </c>
      <c r="D115" s="70">
        <f t="shared" si="2"/>
        <v>-5.5555555555555913E-3</v>
      </c>
    </row>
    <row r="116" spans="1:4" x14ac:dyDescent="0.3">
      <c r="A116" s="7" t="str">
        <f>Districts_Setup!$B$6</f>
        <v>Anand</v>
      </c>
      <c r="B116" s="54">
        <f>IFERROR(AVERAGE(PARAKH_By_Location!B7,PARAKH_By_Location!D7,PARAKH_By_Location!F7,PARAKH_By_Location!H7,PARAKH_By_Location!J7,PARAKH_By_Location!L7,PARAKH_By_Location!N7,PARAKH_By_Location!P7,PARAKH_By_Location!R7),0)</f>
        <v>0.43333333333333335</v>
      </c>
      <c r="C116" s="54">
        <f>IFERROR(AVERAGE(PARAKH_By_Location!C7,PARAKH_By_Location!E7,PARAKH_By_Location!G7,PARAKH_By_Location!I7,PARAKH_By_Location!K7,PARAKH_By_Location!M7,PARAKH_By_Location!O7,PARAKH_By_Location!Q7,PARAKH_By_Location!S7),0)</f>
        <v>0.47333333333333338</v>
      </c>
      <c r="D116" s="70">
        <f t="shared" si="2"/>
        <v>4.0000000000000036E-2</v>
      </c>
    </row>
    <row r="117" spans="1:4" x14ac:dyDescent="0.3">
      <c r="A117" s="7" t="str">
        <f>Districts_Setup!$B$7</f>
        <v>Aravalli</v>
      </c>
      <c r="B117" s="54">
        <f>IFERROR(AVERAGE(PARAKH_By_Location!B8,PARAKH_By_Location!D8,PARAKH_By_Location!F8,PARAKH_By_Location!H8,PARAKH_By_Location!J8,PARAKH_By_Location!L8,PARAKH_By_Location!N8,PARAKH_By_Location!P8,PARAKH_By_Location!R8),0)</f>
        <v>0.41777777777777775</v>
      </c>
      <c r="C117" s="54">
        <f>IFERROR(AVERAGE(PARAKH_By_Location!C8,PARAKH_By_Location!E8,PARAKH_By_Location!G8,PARAKH_By_Location!I8,PARAKH_By_Location!K8,PARAKH_By_Location!M8,PARAKH_By_Location!O8,PARAKH_By_Location!Q8,PARAKH_By_Location!S8),0)</f>
        <v>0.40666666666666668</v>
      </c>
      <c r="D117" s="70">
        <f t="shared" si="2"/>
        <v>-1.1111111111111072E-2</v>
      </c>
    </row>
    <row r="118" spans="1:4" x14ac:dyDescent="0.3">
      <c r="A118" s="7" t="str">
        <f>Districts_Setup!$B$8</f>
        <v>Banaskantha</v>
      </c>
      <c r="B118" s="54">
        <f>IFERROR(AVERAGE(PARAKH_By_Location!B9,PARAKH_By_Location!D9,PARAKH_By_Location!F9,PARAKH_By_Location!H9,PARAKH_By_Location!J9,PARAKH_By_Location!L9,PARAKH_By_Location!N9,PARAKH_By_Location!P9,PARAKH_By_Location!R9),0)</f>
        <v>0.42888888888888888</v>
      </c>
      <c r="C118" s="54">
        <f>IFERROR(AVERAGE(PARAKH_By_Location!C9,PARAKH_By_Location!E9,PARAKH_By_Location!G9,PARAKH_By_Location!I9,PARAKH_By_Location!K9,PARAKH_By_Location!M9,PARAKH_By_Location!O9,PARAKH_By_Location!Q9,PARAKH_By_Location!S9),0)</f>
        <v>0.4811111111111111</v>
      </c>
      <c r="D118" s="70">
        <f t="shared" si="2"/>
        <v>5.2222222222222225E-2</v>
      </c>
    </row>
    <row r="119" spans="1:4" x14ac:dyDescent="0.3">
      <c r="A119" s="7" t="str">
        <f>Districts_Setup!$B$9</f>
        <v>Bharuch</v>
      </c>
      <c r="B119" s="54">
        <f>IFERROR(AVERAGE(PARAKH_By_Location!B10,PARAKH_By_Location!D10,PARAKH_By_Location!F10,PARAKH_By_Location!H10,PARAKH_By_Location!J10,PARAKH_By_Location!L10,PARAKH_By_Location!N10,PARAKH_By_Location!P10,PARAKH_By_Location!R10),0)</f>
        <v>0.44000000000000006</v>
      </c>
      <c r="C119" s="54">
        <f>IFERROR(AVERAGE(PARAKH_By_Location!C10,PARAKH_By_Location!E10,PARAKH_By_Location!G10,PARAKH_By_Location!I10,PARAKH_By_Location!K10,PARAKH_By_Location!M10,PARAKH_By_Location!O10,PARAKH_By_Location!Q10,PARAKH_By_Location!S10),0)</f>
        <v>0.42333333333333334</v>
      </c>
      <c r="D119" s="70">
        <f t="shared" si="2"/>
        <v>-1.6666666666666718E-2</v>
      </c>
    </row>
    <row r="120" spans="1:4" x14ac:dyDescent="0.3">
      <c r="A120" s="7" t="str">
        <f>Districts_Setup!$B$10</f>
        <v>Bhavnagar</v>
      </c>
      <c r="B120" s="54">
        <f>IFERROR(AVERAGE(PARAKH_By_Location!B11,PARAKH_By_Location!D11,PARAKH_By_Location!F11,PARAKH_By_Location!H11,PARAKH_By_Location!J11,PARAKH_By_Location!L11,PARAKH_By_Location!N11,PARAKH_By_Location!P11,PARAKH_By_Location!R11),0)</f>
        <v>0.44666666666666671</v>
      </c>
      <c r="C120" s="54">
        <f>IFERROR(AVERAGE(PARAKH_By_Location!C11,PARAKH_By_Location!E11,PARAKH_By_Location!G11,PARAKH_By_Location!I11,PARAKH_By_Location!K11,PARAKH_By_Location!M11,PARAKH_By_Location!O11,PARAKH_By_Location!Q11,PARAKH_By_Location!S11),0)</f>
        <v>0.49777777777777782</v>
      </c>
      <c r="D120" s="70">
        <f t="shared" si="2"/>
        <v>5.1111111111111107E-2</v>
      </c>
    </row>
    <row r="121" spans="1:4" x14ac:dyDescent="0.3">
      <c r="A121" s="7" t="str">
        <f>Districts_Setup!$B$11</f>
        <v>Botad</v>
      </c>
      <c r="B121" s="54">
        <f>IFERROR(AVERAGE(PARAKH_By_Location!B12,PARAKH_By_Location!D12,PARAKH_By_Location!F12,PARAKH_By_Location!H12,PARAKH_By_Location!J12,PARAKH_By_Location!L12,PARAKH_By_Location!N12,PARAKH_By_Location!P12,PARAKH_By_Location!R12),0)</f>
        <v>0.44111111111111112</v>
      </c>
      <c r="C121" s="54">
        <f>IFERROR(AVERAGE(PARAKH_By_Location!C12,PARAKH_By_Location!E12,PARAKH_By_Location!G12,PARAKH_By_Location!I12,PARAKH_By_Location!K12,PARAKH_By_Location!M12,PARAKH_By_Location!O12,PARAKH_By_Location!Q12,PARAKH_By_Location!S12),0)</f>
        <v>0.42888888888888888</v>
      </c>
      <c r="D121" s="70">
        <f t="shared" si="2"/>
        <v>-1.2222222222222245E-2</v>
      </c>
    </row>
    <row r="122" spans="1:4" x14ac:dyDescent="0.3">
      <c r="A122" s="7" t="str">
        <f>Districts_Setup!$B$12</f>
        <v>Chhota Udepur</v>
      </c>
      <c r="B122" s="54">
        <f>IFERROR(AVERAGE(PARAKH_By_Location!B13,PARAKH_By_Location!D13,PARAKH_By_Location!F13,PARAKH_By_Location!H13,PARAKH_By_Location!J13,PARAKH_By_Location!L13,PARAKH_By_Location!N13,PARAKH_By_Location!P13,PARAKH_By_Location!R13),0)</f>
        <v>0.41000000000000003</v>
      </c>
      <c r="C122" s="54">
        <f>IFERROR(AVERAGE(PARAKH_By_Location!C13,PARAKH_By_Location!E13,PARAKH_By_Location!G13,PARAKH_By_Location!I13,PARAKH_By_Location!K13,PARAKH_By_Location!M13,PARAKH_By_Location!O13,PARAKH_By_Location!Q13,PARAKH_By_Location!S13),0)</f>
        <v>0.33888888888888885</v>
      </c>
      <c r="D122" s="70">
        <f t="shared" si="2"/>
        <v>-7.111111111111118E-2</v>
      </c>
    </row>
    <row r="123" spans="1:4" x14ac:dyDescent="0.3">
      <c r="A123" s="7" t="str">
        <f>Districts_Setup!$B$13</f>
        <v>Dahod</v>
      </c>
      <c r="B123" s="54">
        <f>IFERROR(AVERAGE(PARAKH_By_Location!B14,PARAKH_By_Location!D14,PARAKH_By_Location!F14,PARAKH_By_Location!H14,PARAKH_By_Location!J14,PARAKH_By_Location!L14,PARAKH_By_Location!N14,PARAKH_By_Location!P14,PARAKH_By_Location!R14),0)</f>
        <v>0.40444444444444438</v>
      </c>
      <c r="C123" s="54">
        <f>IFERROR(AVERAGE(PARAKH_By_Location!C14,PARAKH_By_Location!E14,PARAKH_By_Location!G14,PARAKH_By_Location!I14,PARAKH_By_Location!K14,PARAKH_By_Location!M14,PARAKH_By_Location!O14,PARAKH_By_Location!Q14,PARAKH_By_Location!S14),0)</f>
        <v>0.47111111111111115</v>
      </c>
      <c r="D123" s="70">
        <f t="shared" si="2"/>
        <v>6.6666666666666763E-2</v>
      </c>
    </row>
    <row r="124" spans="1:4" x14ac:dyDescent="0.3">
      <c r="A124" s="7" t="str">
        <f>Districts_Setup!$B$14</f>
        <v>Dang</v>
      </c>
      <c r="B124" s="54">
        <f>IFERROR(AVERAGE(PARAKH_By_Location!B15,PARAKH_By_Location!D15,PARAKH_By_Location!F15,PARAKH_By_Location!H15,PARAKH_By_Location!J15,PARAKH_By_Location!L15,PARAKH_By_Location!N15,PARAKH_By_Location!P15,PARAKH_By_Location!R15),0)</f>
        <v>0.43444444444444452</v>
      </c>
      <c r="C124" s="54">
        <f>IFERROR(AVERAGE(PARAKH_By_Location!C15,PARAKH_By_Location!E15,PARAKH_By_Location!G15,PARAKH_By_Location!I15,PARAKH_By_Location!K15,PARAKH_By_Location!M15,PARAKH_By_Location!O15,PARAKH_By_Location!Q15,PARAKH_By_Location!S15),0)</f>
        <v>0</v>
      </c>
      <c r="D124" s="70">
        <f t="shared" si="2"/>
        <v>-0.43444444444444452</v>
      </c>
    </row>
    <row r="125" spans="1:4" x14ac:dyDescent="0.3">
      <c r="A125" s="7" t="str">
        <f>Districts_Setup!$B$15</f>
        <v>Devbhoomi Dwarka</v>
      </c>
      <c r="B125" s="54">
        <f>IFERROR(AVERAGE(PARAKH_By_Location!B16,PARAKH_By_Location!D16,PARAKH_By_Location!F16,PARAKH_By_Location!H16,PARAKH_By_Location!J16,PARAKH_By_Location!L16,PARAKH_By_Location!N16,PARAKH_By_Location!P16,PARAKH_By_Location!R16),0)</f>
        <v>0.48555555555555557</v>
      </c>
      <c r="C125" s="54">
        <f>IFERROR(AVERAGE(PARAKH_By_Location!C16,PARAKH_By_Location!E16,PARAKH_By_Location!G16,PARAKH_By_Location!I16,PARAKH_By_Location!K16,PARAKH_By_Location!M16,PARAKH_By_Location!O16,PARAKH_By_Location!Q16,PARAKH_By_Location!S16),0)</f>
        <v>0.44666666666666671</v>
      </c>
      <c r="D125" s="70">
        <f t="shared" si="2"/>
        <v>-3.8888888888888862E-2</v>
      </c>
    </row>
    <row r="126" spans="1:4" x14ac:dyDescent="0.3">
      <c r="A126" s="7" t="str">
        <f>Districts_Setup!$B$16</f>
        <v>Gandhinagar</v>
      </c>
      <c r="B126" s="54">
        <f>IFERROR(AVERAGE(PARAKH_By_Location!B17,PARAKH_By_Location!D17,PARAKH_By_Location!F17,PARAKH_By_Location!H17,PARAKH_By_Location!J17,PARAKH_By_Location!L17,PARAKH_By_Location!N17,PARAKH_By_Location!P17,PARAKH_By_Location!R17),0)</f>
        <v>0.48777777777777775</v>
      </c>
      <c r="C126" s="54">
        <f>IFERROR(AVERAGE(PARAKH_By_Location!C17,PARAKH_By_Location!E17,PARAKH_By_Location!G17,PARAKH_By_Location!I17,PARAKH_By_Location!K17,PARAKH_By_Location!M17,PARAKH_By_Location!O17,PARAKH_By_Location!Q17,PARAKH_By_Location!S17),0)</f>
        <v>0.52444444444444438</v>
      </c>
      <c r="D126" s="70">
        <f t="shared" si="2"/>
        <v>3.6666666666666625E-2</v>
      </c>
    </row>
    <row r="127" spans="1:4" x14ac:dyDescent="0.3">
      <c r="A127" s="7" t="str">
        <f>Districts_Setup!$B$17</f>
        <v>Gir Somnath</v>
      </c>
      <c r="B127" s="54">
        <f>IFERROR(AVERAGE(PARAKH_By_Location!B18,PARAKH_By_Location!D18,PARAKH_By_Location!F18,PARAKH_By_Location!H18,PARAKH_By_Location!J18,PARAKH_By_Location!L18,PARAKH_By_Location!N18,PARAKH_By_Location!P18,PARAKH_By_Location!R18),0)</f>
        <v>0.40777777777777779</v>
      </c>
      <c r="C127" s="54">
        <f>IFERROR(AVERAGE(PARAKH_By_Location!C18,PARAKH_By_Location!E18,PARAKH_By_Location!G18,PARAKH_By_Location!I18,PARAKH_By_Location!K18,PARAKH_By_Location!M18,PARAKH_By_Location!O18,PARAKH_By_Location!Q18,PARAKH_By_Location!S18),0)</f>
        <v>0.4022222222222222</v>
      </c>
      <c r="D127" s="70">
        <f t="shared" si="2"/>
        <v>-5.5555555555555913E-3</v>
      </c>
    </row>
    <row r="128" spans="1:4" x14ac:dyDescent="0.3">
      <c r="A128" s="7" t="str">
        <f>Districts_Setup!$B$18</f>
        <v>Jamnagar</v>
      </c>
      <c r="B128" s="54">
        <f>IFERROR(AVERAGE(PARAKH_By_Location!B19,PARAKH_By_Location!D19,PARAKH_By_Location!F19,PARAKH_By_Location!H19,PARAKH_By_Location!J19,PARAKH_By_Location!L19,PARAKH_By_Location!N19,PARAKH_By_Location!P19,PARAKH_By_Location!R19),0)</f>
        <v>0.43666666666666659</v>
      </c>
      <c r="C128" s="54">
        <f>IFERROR(AVERAGE(PARAKH_By_Location!C19,PARAKH_By_Location!E19,PARAKH_By_Location!G19,PARAKH_By_Location!I19,PARAKH_By_Location!K19,PARAKH_By_Location!M19,PARAKH_By_Location!O19,PARAKH_By_Location!Q19,PARAKH_By_Location!S19),0)</f>
        <v>0.44111111111111101</v>
      </c>
      <c r="D128" s="70">
        <f t="shared" si="2"/>
        <v>4.4444444444444176E-3</v>
      </c>
    </row>
    <row r="129" spans="1:4" x14ac:dyDescent="0.3">
      <c r="A129" s="7" t="str">
        <f>Districts_Setup!$B$19</f>
        <v>Junagadh</v>
      </c>
      <c r="B129" s="54">
        <f>IFERROR(AVERAGE(PARAKH_By_Location!B20,PARAKH_By_Location!D20,PARAKH_By_Location!F20,PARAKH_By_Location!H20,PARAKH_By_Location!J20,PARAKH_By_Location!L20,PARAKH_By_Location!N20,PARAKH_By_Location!P20,PARAKH_By_Location!R20),0)</f>
        <v>0.43444444444444447</v>
      </c>
      <c r="C129" s="54">
        <f>IFERROR(AVERAGE(PARAKH_By_Location!C20,PARAKH_By_Location!E20,PARAKH_By_Location!G20,PARAKH_By_Location!I20,PARAKH_By_Location!K20,PARAKH_By_Location!M20,PARAKH_By_Location!O20,PARAKH_By_Location!Q20,PARAKH_By_Location!S20),0)</f>
        <v>0.4933333333333334</v>
      </c>
      <c r="D129" s="70">
        <f t="shared" si="2"/>
        <v>5.8888888888888935E-2</v>
      </c>
    </row>
    <row r="130" spans="1:4" x14ac:dyDescent="0.3">
      <c r="A130" s="7" t="str">
        <f>Districts_Setup!$B$20</f>
        <v>Kutch</v>
      </c>
      <c r="B130" s="54">
        <f>IFERROR(AVERAGE(PARAKH_By_Location!B21,PARAKH_By_Location!D21,PARAKH_By_Location!F21,PARAKH_By_Location!H21,PARAKH_By_Location!J21,PARAKH_By_Location!L21,PARAKH_By_Location!N21,PARAKH_By_Location!P21,PARAKH_By_Location!R21),0)</f>
        <v>0.42888888888888888</v>
      </c>
      <c r="C130" s="54">
        <f>IFERROR(AVERAGE(PARAKH_By_Location!C21,PARAKH_By_Location!E21,PARAKH_By_Location!G21,PARAKH_By_Location!I21,PARAKH_By_Location!K21,PARAKH_By_Location!M21,PARAKH_By_Location!O21,PARAKH_By_Location!Q21,PARAKH_By_Location!S21),0)</f>
        <v>0.4588888888888889</v>
      </c>
      <c r="D130" s="70">
        <f t="shared" si="2"/>
        <v>3.0000000000000027E-2</v>
      </c>
    </row>
    <row r="131" spans="1:4" x14ac:dyDescent="0.3">
      <c r="A131" s="7" t="str">
        <f>Districts_Setup!$B$21</f>
        <v>Kheda</v>
      </c>
      <c r="B131" s="54">
        <f>IFERROR(AVERAGE(PARAKH_By_Location!B22,PARAKH_By_Location!D22,PARAKH_By_Location!F22,PARAKH_By_Location!H22,PARAKH_By_Location!J22,PARAKH_By_Location!L22,PARAKH_By_Location!N22,PARAKH_By_Location!P22,PARAKH_By_Location!R22),0)</f>
        <v>0.40555555555555561</v>
      </c>
      <c r="C131" s="54">
        <f>IFERROR(AVERAGE(PARAKH_By_Location!C22,PARAKH_By_Location!E22,PARAKH_By_Location!G22,PARAKH_By_Location!I22,PARAKH_By_Location!K22,PARAKH_By_Location!M22,PARAKH_By_Location!O22,PARAKH_By_Location!Q22,PARAKH_By_Location!S22),0)</f>
        <v>0.40666666666666668</v>
      </c>
      <c r="D131" s="70">
        <f t="shared" si="2"/>
        <v>1.1111111111110628E-3</v>
      </c>
    </row>
    <row r="132" spans="1:4" x14ac:dyDescent="0.3">
      <c r="A132" s="7" t="str">
        <f>Districts_Setup!$B$22</f>
        <v>Mahisagar</v>
      </c>
      <c r="B132" s="54">
        <f>IFERROR(AVERAGE(PARAKH_By_Location!B23,PARAKH_By_Location!D23,PARAKH_By_Location!F23,PARAKH_By_Location!H23,PARAKH_By_Location!J23,PARAKH_By_Location!L23,PARAKH_By_Location!N23,PARAKH_By_Location!P23,PARAKH_By_Location!R23),0)</f>
        <v>0.41999999999999993</v>
      </c>
      <c r="C132" s="54">
        <f>IFERROR(AVERAGE(PARAKH_By_Location!C23,PARAKH_By_Location!E23,PARAKH_By_Location!G23,PARAKH_By_Location!I23,PARAKH_By_Location!K23,PARAKH_By_Location!M23,PARAKH_By_Location!O23,PARAKH_By_Location!Q23,PARAKH_By_Location!S23),0)</f>
        <v>0.45111111111111118</v>
      </c>
      <c r="D132" s="70">
        <f t="shared" si="2"/>
        <v>3.1111111111111256E-2</v>
      </c>
    </row>
    <row r="133" spans="1:4" x14ac:dyDescent="0.3">
      <c r="A133" s="7" t="str">
        <f>Districts_Setup!$B$23</f>
        <v>Mehsana</v>
      </c>
      <c r="B133" s="54">
        <f>IFERROR(AVERAGE(PARAKH_By_Location!B24,PARAKH_By_Location!D24,PARAKH_By_Location!F24,PARAKH_By_Location!H24,PARAKH_By_Location!J24,PARAKH_By_Location!L24,PARAKH_By_Location!N24,PARAKH_By_Location!P24,PARAKH_By_Location!R24),0)</f>
        <v>0.43555555555555547</v>
      </c>
      <c r="C133" s="54">
        <f>IFERROR(AVERAGE(PARAKH_By_Location!C24,PARAKH_By_Location!E24,PARAKH_By_Location!G24,PARAKH_By_Location!I24,PARAKH_By_Location!K24,PARAKH_By_Location!M24,PARAKH_By_Location!O24,PARAKH_By_Location!Q24,PARAKH_By_Location!S24),0)</f>
        <v>0.48333333333333328</v>
      </c>
      <c r="D133" s="70">
        <f t="shared" si="2"/>
        <v>4.7777777777777808E-2</v>
      </c>
    </row>
    <row r="134" spans="1:4" x14ac:dyDescent="0.3">
      <c r="A134" s="7" t="str">
        <f>Districts_Setup!$B$24</f>
        <v>Morbi</v>
      </c>
      <c r="B134" s="54">
        <f>IFERROR(AVERAGE(PARAKH_By_Location!B25,PARAKH_By_Location!D25,PARAKH_By_Location!F25,PARAKH_By_Location!H25,PARAKH_By_Location!J25,PARAKH_By_Location!L25,PARAKH_By_Location!N25,PARAKH_By_Location!P25,PARAKH_By_Location!R25),0)</f>
        <v>0.44999999999999996</v>
      </c>
      <c r="C134" s="54">
        <f>IFERROR(AVERAGE(PARAKH_By_Location!C25,PARAKH_By_Location!E25,PARAKH_By_Location!G25,PARAKH_By_Location!I25,PARAKH_By_Location!K25,PARAKH_By_Location!M25,PARAKH_By_Location!O25,PARAKH_By_Location!Q25,PARAKH_By_Location!S25),0)</f>
        <v>0.43777777777777771</v>
      </c>
      <c r="D134" s="70">
        <f t="shared" si="2"/>
        <v>-1.2222222222222245E-2</v>
      </c>
    </row>
    <row r="135" spans="1:4" x14ac:dyDescent="0.3">
      <c r="A135" s="7" t="str">
        <f>Districts_Setup!$B$25</f>
        <v>Narmada</v>
      </c>
      <c r="B135" s="54">
        <f>IFERROR(AVERAGE(PARAKH_By_Location!B26,PARAKH_By_Location!D26,PARAKH_By_Location!F26,PARAKH_By_Location!H26,PARAKH_By_Location!J26,PARAKH_By_Location!L26,PARAKH_By_Location!N26,PARAKH_By_Location!P26,PARAKH_By_Location!R26),0)</f>
        <v>0.41555555555555551</v>
      </c>
      <c r="C135" s="54">
        <f>IFERROR(AVERAGE(PARAKH_By_Location!C26,PARAKH_By_Location!E26,PARAKH_By_Location!G26,PARAKH_By_Location!I26,PARAKH_By_Location!K26,PARAKH_By_Location!M26,PARAKH_By_Location!O26,PARAKH_By_Location!Q26,PARAKH_By_Location!S26),0)</f>
        <v>0.51666666666666672</v>
      </c>
      <c r="D135" s="70">
        <f t="shared" si="2"/>
        <v>0.10111111111111121</v>
      </c>
    </row>
    <row r="136" spans="1:4" x14ac:dyDescent="0.3">
      <c r="A136" s="7" t="str">
        <f>Districts_Setup!$B$26</f>
        <v>Navsari</v>
      </c>
      <c r="B136" s="54">
        <f>IFERROR(AVERAGE(PARAKH_By_Location!B27,PARAKH_By_Location!D27,PARAKH_By_Location!F27,PARAKH_By_Location!H27,PARAKH_By_Location!J27,PARAKH_By_Location!L27,PARAKH_By_Location!N27,PARAKH_By_Location!P27,PARAKH_By_Location!R27),0)</f>
        <v>0.45333333333333337</v>
      </c>
      <c r="C136" s="54">
        <f>IFERROR(AVERAGE(PARAKH_By_Location!C27,PARAKH_By_Location!E27,PARAKH_By_Location!G27,PARAKH_By_Location!I27,PARAKH_By_Location!K27,PARAKH_By_Location!M27,PARAKH_By_Location!O27,PARAKH_By_Location!Q27,PARAKH_By_Location!S27),0)</f>
        <v>0.45666666666666661</v>
      </c>
      <c r="D136" s="70">
        <f t="shared" si="2"/>
        <v>3.3333333333332438E-3</v>
      </c>
    </row>
    <row r="137" spans="1:4" x14ac:dyDescent="0.3">
      <c r="A137" s="7" t="str">
        <f>Districts_Setup!$B$27</f>
        <v>Panchmahal</v>
      </c>
      <c r="B137" s="54">
        <f>IFERROR(AVERAGE(PARAKH_By_Location!B28,PARAKH_By_Location!D28,PARAKH_By_Location!F28,PARAKH_By_Location!H28,PARAKH_By_Location!J28,PARAKH_By_Location!L28,PARAKH_By_Location!N28,PARAKH_By_Location!P28,PARAKH_By_Location!R28),0)</f>
        <v>0.43222222222222229</v>
      </c>
      <c r="C137" s="54">
        <f>IFERROR(AVERAGE(PARAKH_By_Location!C28,PARAKH_By_Location!E28,PARAKH_By_Location!G28,PARAKH_By_Location!I28,PARAKH_By_Location!K28,PARAKH_By_Location!M28,PARAKH_By_Location!O28,PARAKH_By_Location!Q28,PARAKH_By_Location!S28),0)</f>
        <v>0.45888888888888896</v>
      </c>
      <c r="D137" s="70">
        <f t="shared" si="2"/>
        <v>2.6666666666666672E-2</v>
      </c>
    </row>
    <row r="138" spans="1:4" x14ac:dyDescent="0.3">
      <c r="A138" s="7" t="str">
        <f>Districts_Setup!$B$28</f>
        <v>Patan</v>
      </c>
      <c r="B138" s="54">
        <f>IFERROR(AVERAGE(PARAKH_By_Location!B29,PARAKH_By_Location!D29,PARAKH_By_Location!F29,PARAKH_By_Location!H29,PARAKH_By_Location!J29,PARAKH_By_Location!L29,PARAKH_By_Location!N29,PARAKH_By_Location!P29,PARAKH_By_Location!R29),0)</f>
        <v>0.42777777777777781</v>
      </c>
      <c r="C138" s="54">
        <f>IFERROR(AVERAGE(PARAKH_By_Location!C29,PARAKH_By_Location!E29,PARAKH_By_Location!G29,PARAKH_By_Location!I29,PARAKH_By_Location!K29,PARAKH_By_Location!M29,PARAKH_By_Location!O29,PARAKH_By_Location!Q29,PARAKH_By_Location!S29),0)</f>
        <v>0.45333333333333337</v>
      </c>
      <c r="D138" s="70">
        <f t="shared" si="2"/>
        <v>2.5555555555555554E-2</v>
      </c>
    </row>
    <row r="139" spans="1:4" x14ac:dyDescent="0.3">
      <c r="A139" s="7" t="str">
        <f>Districts_Setup!$B$29</f>
        <v>Porbandar</v>
      </c>
      <c r="B139" s="54">
        <f>IFERROR(AVERAGE(PARAKH_By_Location!B30,PARAKH_By_Location!D30,PARAKH_By_Location!F30,PARAKH_By_Location!H30,PARAKH_By_Location!J30,PARAKH_By_Location!L30,PARAKH_By_Location!N30,PARAKH_By_Location!P30,PARAKH_By_Location!R30),0)</f>
        <v>0.42777777777777781</v>
      </c>
      <c r="C139" s="54">
        <f>IFERROR(AVERAGE(PARAKH_By_Location!C30,PARAKH_By_Location!E30,PARAKH_By_Location!G30,PARAKH_By_Location!I30,PARAKH_By_Location!K30,PARAKH_By_Location!M30,PARAKH_By_Location!O30,PARAKH_By_Location!Q30,PARAKH_By_Location!S30),0)</f>
        <v>0.43333333333333335</v>
      </c>
      <c r="D139" s="70">
        <f t="shared" si="2"/>
        <v>5.5555555555555358E-3</v>
      </c>
    </row>
    <row r="140" spans="1:4" x14ac:dyDescent="0.3">
      <c r="A140" s="7" t="str">
        <f>Districts_Setup!$B$30</f>
        <v>Rajkot</v>
      </c>
      <c r="B140" s="54">
        <f>IFERROR(AVERAGE(PARAKH_By_Location!B31,PARAKH_By_Location!D31,PARAKH_By_Location!F31,PARAKH_By_Location!H31,PARAKH_By_Location!J31,PARAKH_By_Location!L31,PARAKH_By_Location!N31,PARAKH_By_Location!P31,PARAKH_By_Location!R31),0)</f>
        <v>0.41</v>
      </c>
      <c r="C140" s="54">
        <f>IFERROR(AVERAGE(PARAKH_By_Location!C31,PARAKH_By_Location!E31,PARAKH_By_Location!G31,PARAKH_By_Location!I31,PARAKH_By_Location!K31,PARAKH_By_Location!M31,PARAKH_By_Location!O31,PARAKH_By_Location!Q31,PARAKH_By_Location!S31),0)</f>
        <v>0.48444444444444446</v>
      </c>
      <c r="D140" s="70">
        <f t="shared" si="2"/>
        <v>7.444444444444448E-2</v>
      </c>
    </row>
    <row r="141" spans="1:4" x14ac:dyDescent="0.3">
      <c r="A141" s="7" t="str">
        <f>Districts_Setup!$B$31</f>
        <v>Sabarkantha</v>
      </c>
      <c r="B141" s="54">
        <f>IFERROR(AVERAGE(PARAKH_By_Location!B32,PARAKH_By_Location!D32,PARAKH_By_Location!F32,PARAKH_By_Location!H32,PARAKH_By_Location!J32,PARAKH_By_Location!L32,PARAKH_By_Location!N32,PARAKH_By_Location!P32,PARAKH_By_Location!R32),0)</f>
        <v>0.42999999999999994</v>
      </c>
      <c r="C141" s="54">
        <f>IFERROR(AVERAGE(PARAKH_By_Location!C32,PARAKH_By_Location!E32,PARAKH_By_Location!G32,PARAKH_By_Location!I32,PARAKH_By_Location!K32,PARAKH_By_Location!M32,PARAKH_By_Location!O32,PARAKH_By_Location!Q32,PARAKH_By_Location!S32),0)</f>
        <v>0.48888888888888893</v>
      </c>
      <c r="D141" s="70">
        <f t="shared" si="2"/>
        <v>5.8888888888888991E-2</v>
      </c>
    </row>
    <row r="142" spans="1:4" x14ac:dyDescent="0.3">
      <c r="A142" s="7" t="str">
        <f>Districts_Setup!$B$32</f>
        <v>Surat</v>
      </c>
      <c r="B142" s="54">
        <f>IFERROR(AVERAGE(PARAKH_By_Location!B33,PARAKH_By_Location!D33,PARAKH_By_Location!F33,PARAKH_By_Location!H33,PARAKH_By_Location!J33,PARAKH_By_Location!L33,PARAKH_By_Location!N33,PARAKH_By_Location!P33,PARAKH_By_Location!R33),0)</f>
        <v>0.43777777777777777</v>
      </c>
      <c r="C142" s="54">
        <f>IFERROR(AVERAGE(PARAKH_By_Location!C33,PARAKH_By_Location!E33,PARAKH_By_Location!G33,PARAKH_By_Location!I33,PARAKH_By_Location!K33,PARAKH_By_Location!M33,PARAKH_By_Location!O33,PARAKH_By_Location!Q33,PARAKH_By_Location!S33),0)</f>
        <v>0.49222222222222217</v>
      </c>
      <c r="D142" s="70">
        <f t="shared" si="2"/>
        <v>5.4444444444444406E-2</v>
      </c>
    </row>
    <row r="143" spans="1:4" x14ac:dyDescent="0.3">
      <c r="A143" s="7" t="str">
        <f>Districts_Setup!$B$33</f>
        <v>Surendranagar</v>
      </c>
      <c r="B143" s="54">
        <f>IFERROR(AVERAGE(PARAKH_By_Location!B34,PARAKH_By_Location!D34,PARAKH_By_Location!F34,PARAKH_By_Location!H34,PARAKH_By_Location!J34,PARAKH_By_Location!L34,PARAKH_By_Location!N34,PARAKH_By_Location!P34,PARAKH_By_Location!R34),0)</f>
        <v>0.44222222222222218</v>
      </c>
      <c r="C143" s="54">
        <f>IFERROR(AVERAGE(PARAKH_By_Location!C34,PARAKH_By_Location!E34,PARAKH_By_Location!G34,PARAKH_By_Location!I34,PARAKH_By_Location!K34,PARAKH_By_Location!M34,PARAKH_By_Location!O34,PARAKH_By_Location!Q34,PARAKH_By_Location!S34),0)</f>
        <v>0.4811111111111111</v>
      </c>
      <c r="D143" s="70">
        <f t="shared" si="2"/>
        <v>3.8888888888888917E-2</v>
      </c>
    </row>
    <row r="144" spans="1:4" x14ac:dyDescent="0.3">
      <c r="A144" s="7" t="str">
        <f>Districts_Setup!$B$34</f>
        <v>Tapi</v>
      </c>
      <c r="B144" s="54">
        <f>IFERROR(AVERAGE(PARAKH_By_Location!B35,PARAKH_By_Location!D35,PARAKH_By_Location!F35,PARAKH_By_Location!H35,PARAKH_By_Location!J35,PARAKH_By_Location!L35,PARAKH_By_Location!N35,PARAKH_By_Location!P35,PARAKH_By_Location!R35),0)</f>
        <v>0.47333333333333338</v>
      </c>
      <c r="C144" s="54">
        <f>IFERROR(AVERAGE(PARAKH_By_Location!C35,PARAKH_By_Location!E35,PARAKH_By_Location!G35,PARAKH_By_Location!I35,PARAKH_By_Location!K35,PARAKH_By_Location!M35,PARAKH_By_Location!O35,PARAKH_By_Location!Q35,PARAKH_By_Location!S35),0)</f>
        <v>0.48444444444444446</v>
      </c>
      <c r="D144" s="70">
        <f t="shared" si="2"/>
        <v>1.1111111111111072E-2</v>
      </c>
    </row>
    <row r="145" spans="1:5" x14ac:dyDescent="0.3">
      <c r="A145" s="7" t="str">
        <f>Districts_Setup!$B$35</f>
        <v>Vadodara</v>
      </c>
      <c r="B145" s="54">
        <f>IFERROR(AVERAGE(PARAKH_By_Location!B36,PARAKH_By_Location!D36,PARAKH_By_Location!F36,PARAKH_By_Location!H36,PARAKH_By_Location!J36,PARAKH_By_Location!L36,PARAKH_By_Location!N36,PARAKH_By_Location!P36,PARAKH_By_Location!R36),0)</f>
        <v>0.39777777777777773</v>
      </c>
      <c r="C145" s="54">
        <f>IFERROR(AVERAGE(PARAKH_By_Location!C36,PARAKH_By_Location!E36,PARAKH_By_Location!G36,PARAKH_By_Location!I36,PARAKH_By_Location!K36,PARAKH_By_Location!M36,PARAKH_By_Location!O36,PARAKH_By_Location!Q36,PARAKH_By_Location!S36),0)</f>
        <v>0.50777777777777777</v>
      </c>
      <c r="D145" s="70">
        <f t="shared" si="2"/>
        <v>0.11000000000000004</v>
      </c>
    </row>
    <row r="146" spans="1:5" x14ac:dyDescent="0.3">
      <c r="A146" s="7" t="str">
        <f>Districts_Setup!$B$36</f>
        <v>Valsad</v>
      </c>
      <c r="B146" s="54">
        <f>IFERROR(AVERAGE(PARAKH_By_Location!B37,PARAKH_By_Location!D37,PARAKH_By_Location!F37,PARAKH_By_Location!H37,PARAKH_By_Location!J37,PARAKH_By_Location!L37,PARAKH_By_Location!N37,PARAKH_By_Location!P37,PARAKH_By_Location!R37),0)</f>
        <v>0.43444444444444447</v>
      </c>
      <c r="C146" s="54">
        <f>IFERROR(AVERAGE(PARAKH_By_Location!C37,PARAKH_By_Location!E37,PARAKH_By_Location!G37,PARAKH_By_Location!I37,PARAKH_By_Location!K37,PARAKH_By_Location!M37,PARAKH_By_Location!O37,PARAKH_By_Location!Q37,PARAKH_By_Location!S37),0)</f>
        <v>0.50000000000000011</v>
      </c>
      <c r="D146" s="70">
        <f t="shared" si="2"/>
        <v>6.5555555555555645E-2</v>
      </c>
    </row>
    <row r="148" spans="1:5" ht="15.6" x14ac:dyDescent="0.3">
      <c r="A148" s="35" t="s">
        <v>708</v>
      </c>
    </row>
    <row r="149" spans="1:5" ht="24" x14ac:dyDescent="0.3">
      <c r="A149" s="71" t="s">
        <v>619</v>
      </c>
      <c r="B149" s="71" t="s">
        <v>636</v>
      </c>
      <c r="C149" s="71" t="s">
        <v>637</v>
      </c>
      <c r="D149" s="71" t="s">
        <v>638</v>
      </c>
      <c r="E149" s="71" t="s">
        <v>639</v>
      </c>
    </row>
    <row r="150" spans="1:5" x14ac:dyDescent="0.3">
      <c r="A150" s="7" t="str">
        <f>Districts_Setup!$B$4</f>
        <v>Ahmedabad</v>
      </c>
      <c r="B150" s="54">
        <f>IFERROR(AVERAGE(PARAKH_By_Management!B5,PARAKH_By_Management!F5,PARAKH_By_Management!J5,PARAKH_By_Management!N5,PARAKH_By_Management!R5,PARAKH_By_Management!V5,PARAKH_By_Management!Z5,PARAKH_By_Management!AD5,PARAKH_By_Management!AH5),0)</f>
        <v>0.42777777777777781</v>
      </c>
      <c r="C150" s="54">
        <f>IFERROR(AVERAGE(PARAKH_By_Management!C5,PARAKH_By_Management!G5,PARAKH_By_Management!K5,PARAKH_By_Management!O5,PARAKH_By_Management!S5,PARAKH_By_Management!W5,PARAKH_By_Management!AA5,PARAKH_By_Management!AE5,PARAKH_By_Management!AI5),0)</f>
        <v>0.42555555555555558</v>
      </c>
      <c r="D150" s="54">
        <f>IFERROR(AVERAGE(PARAKH_By_Management!D5,PARAKH_By_Management!H5,PARAKH_By_Management!L5,PARAKH_By_Management!P5,PARAKH_By_Management!T5,PARAKH_By_Management!X5,PARAKH_By_Management!AB5,PARAKH_By_Management!AF5,PARAKH_By_Management!AJ5),0)</f>
        <v>0.56000000000000005</v>
      </c>
      <c r="E150" s="54">
        <f>IFERROR(AVERAGE(PARAKH_By_Management!E5,PARAKH_By_Management!I5,PARAKH_By_Management!M5,PARAKH_By_Management!Q5,PARAKH_By_Management!U5,PARAKH_By_Management!Y5,PARAKH_By_Management!AC5,PARAKH_By_Management!AG5,PARAKH_By_Management!AK5),0)</f>
        <v>0.45666666666666672</v>
      </c>
    </row>
    <row r="151" spans="1:5" x14ac:dyDescent="0.3">
      <c r="A151" s="7" t="str">
        <f>Districts_Setup!$B$5</f>
        <v>Amreli</v>
      </c>
      <c r="B151" s="54">
        <f>IFERROR(AVERAGE(PARAKH_By_Management!B6,PARAKH_By_Management!F6,PARAKH_By_Management!J6,PARAKH_By_Management!N6,PARAKH_By_Management!R6,PARAKH_By_Management!V6,PARAKH_By_Management!Z6,PARAKH_By_Management!AD6,PARAKH_By_Management!AH6),0)</f>
        <v>0.40666666666666668</v>
      </c>
      <c r="C151" s="54">
        <f>IFERROR(AVERAGE(PARAKH_By_Management!C6,PARAKH_By_Management!G6,PARAKH_By_Management!K6,PARAKH_By_Management!O6,PARAKH_By_Management!S6,PARAKH_By_Management!W6,PARAKH_By_Management!AA6,PARAKH_By_Management!AE6,PARAKH_By_Management!AI6),0)</f>
        <v>0.42222222222222222</v>
      </c>
      <c r="D151" s="54">
        <f>IFERROR(AVERAGE(PARAKH_By_Management!D6,PARAKH_By_Management!H6,PARAKH_By_Management!L6,PARAKH_By_Management!P6,PARAKH_By_Management!T6,PARAKH_By_Management!X6,PARAKH_By_Management!AB6,PARAKH_By_Management!AF6,PARAKH_By_Management!AJ6),0)</f>
        <v>0.73857142857142855</v>
      </c>
      <c r="E151" s="54">
        <f>IFERROR(AVERAGE(PARAKH_By_Management!E6,PARAKH_By_Management!I6,PARAKH_By_Management!M6,PARAKH_By_Management!Q6,PARAKH_By_Management!U6,PARAKH_By_Management!Y6,PARAKH_By_Management!AC6,PARAKH_By_Management!AG6,PARAKH_By_Management!AK6),0)</f>
        <v>0.43222222222222223</v>
      </c>
    </row>
    <row r="152" spans="1:5" x14ac:dyDescent="0.3">
      <c r="A152" s="7" t="str">
        <f>Districts_Setup!$B$6</f>
        <v>Anand</v>
      </c>
      <c r="B152" s="54">
        <f>IFERROR(AVERAGE(PARAKH_By_Management!B7,PARAKH_By_Management!F7,PARAKH_By_Management!J7,PARAKH_By_Management!N7,PARAKH_By_Management!R7,PARAKH_By_Management!V7,PARAKH_By_Management!Z7,PARAKH_By_Management!AD7,PARAKH_By_Management!AH7),0)</f>
        <v>0.40333333333333338</v>
      </c>
      <c r="C152" s="54">
        <f>IFERROR(AVERAGE(PARAKH_By_Management!C7,PARAKH_By_Management!G7,PARAKH_By_Management!K7,PARAKH_By_Management!O7,PARAKH_By_Management!S7,PARAKH_By_Management!W7,PARAKH_By_Management!AA7,PARAKH_By_Management!AE7,PARAKH_By_Management!AI7),0)</f>
        <v>0.43777777777777777</v>
      </c>
      <c r="D152" s="54">
        <f>IFERROR(AVERAGE(PARAKH_By_Management!D7,PARAKH_By_Management!H7,PARAKH_By_Management!L7,PARAKH_By_Management!P7,PARAKH_By_Management!T7,PARAKH_By_Management!X7,PARAKH_By_Management!AB7,PARAKH_By_Management!AF7,PARAKH_By_Management!AJ7),0)</f>
        <v>0.52888888888888896</v>
      </c>
      <c r="E152" s="54">
        <f>IFERROR(AVERAGE(PARAKH_By_Management!E7,PARAKH_By_Management!I7,PARAKH_By_Management!M7,PARAKH_By_Management!Q7,PARAKH_By_Management!U7,PARAKH_By_Management!Y7,PARAKH_By_Management!AC7,PARAKH_By_Management!AG7,PARAKH_By_Management!AK7),0)</f>
        <v>0.47666666666666668</v>
      </c>
    </row>
    <row r="153" spans="1:5" x14ac:dyDescent="0.3">
      <c r="A153" s="7" t="str">
        <f>Districts_Setup!$B$7</f>
        <v>Aravalli</v>
      </c>
      <c r="B153" s="54">
        <f>IFERROR(AVERAGE(PARAKH_By_Management!B8,PARAKH_By_Management!F8,PARAKH_By_Management!J8,PARAKH_By_Management!N8,PARAKH_By_Management!R8,PARAKH_By_Management!V8,PARAKH_By_Management!Z8,PARAKH_By_Management!AD8,PARAKH_By_Management!AH8),0)</f>
        <v>0.40777777777777779</v>
      </c>
      <c r="C153" s="54">
        <f>IFERROR(AVERAGE(PARAKH_By_Management!C8,PARAKH_By_Management!G8,PARAKH_By_Management!K8,PARAKH_By_Management!O8,PARAKH_By_Management!S8,PARAKH_By_Management!W8,PARAKH_By_Management!AA8,PARAKH_By_Management!AE8,PARAKH_By_Management!AI8),0)</f>
        <v>0.38111111111111112</v>
      </c>
      <c r="D153" s="54">
        <f>IFERROR(AVERAGE(PARAKH_By_Management!D8,PARAKH_By_Management!H8,PARAKH_By_Management!L8,PARAKH_By_Management!P8,PARAKH_By_Management!T8,PARAKH_By_Management!X8,PARAKH_By_Management!AB8,PARAKH_By_Management!AF8,PARAKH_By_Management!AJ8),0)</f>
        <v>0.49999999999999994</v>
      </c>
      <c r="E153" s="54">
        <f>IFERROR(AVERAGE(PARAKH_By_Management!E8,PARAKH_By_Management!I8,PARAKH_By_Management!M8,PARAKH_By_Management!Q8,PARAKH_By_Management!U8,PARAKH_By_Management!Y8,PARAKH_By_Management!AC8,PARAKH_By_Management!AG8,PARAKH_By_Management!AK8),0)</f>
        <v>0.43555555555555553</v>
      </c>
    </row>
    <row r="154" spans="1:5" x14ac:dyDescent="0.3">
      <c r="A154" s="7" t="str">
        <f>Districts_Setup!$B$8</f>
        <v>Banaskantha</v>
      </c>
      <c r="B154" s="54">
        <f>IFERROR(AVERAGE(PARAKH_By_Management!B9,PARAKH_By_Management!F9,PARAKH_By_Management!J9,PARAKH_By_Management!N9,PARAKH_By_Management!R9,PARAKH_By_Management!V9,PARAKH_By_Management!Z9,PARAKH_By_Management!AD9,PARAKH_By_Management!AH9),0)</f>
        <v>0.40777777777777779</v>
      </c>
      <c r="C154" s="54">
        <f>IFERROR(AVERAGE(PARAKH_By_Management!C9,PARAKH_By_Management!G9,PARAKH_By_Management!K9,PARAKH_By_Management!O9,PARAKH_By_Management!S9,PARAKH_By_Management!W9,PARAKH_By_Management!AA9,PARAKH_By_Management!AE9,PARAKH_By_Management!AI9),0)</f>
        <v>0.4366666666666667</v>
      </c>
      <c r="D154" s="54">
        <f>IFERROR(AVERAGE(PARAKH_By_Management!D9,PARAKH_By_Management!H9,PARAKH_By_Management!L9,PARAKH_By_Management!P9,PARAKH_By_Management!T9,PARAKH_By_Management!X9,PARAKH_By_Management!AB9,PARAKH_By_Management!AF9,PARAKH_By_Management!AJ9),0)</f>
        <v>0.50555555555555565</v>
      </c>
      <c r="E154" s="54">
        <f>IFERROR(AVERAGE(PARAKH_By_Management!E9,PARAKH_By_Management!I9,PARAKH_By_Management!M9,PARAKH_By_Management!Q9,PARAKH_By_Management!U9,PARAKH_By_Management!Y9,PARAKH_By_Management!AC9,PARAKH_By_Management!AG9,PARAKH_By_Management!AK9),0)</f>
        <v>0.48555555555555557</v>
      </c>
    </row>
    <row r="155" spans="1:5" x14ac:dyDescent="0.3">
      <c r="A155" s="7" t="str">
        <f>Districts_Setup!$B$9</f>
        <v>Bharuch</v>
      </c>
      <c r="B155" s="54">
        <f>IFERROR(AVERAGE(PARAKH_By_Management!B10,PARAKH_By_Management!F10,PARAKH_By_Management!J10,PARAKH_By_Management!N10,PARAKH_By_Management!R10,PARAKH_By_Management!V10,PARAKH_By_Management!Z10,PARAKH_By_Management!AD10,PARAKH_By_Management!AH10),0)</f>
        <v>0.41444444444444445</v>
      </c>
      <c r="C155" s="54">
        <f>IFERROR(AVERAGE(PARAKH_By_Management!C10,PARAKH_By_Management!G10,PARAKH_By_Management!K10,PARAKH_By_Management!O10,PARAKH_By_Management!S10,PARAKH_By_Management!W10,PARAKH_By_Management!AA10,PARAKH_By_Management!AE10,PARAKH_By_Management!AI10),0)</f>
        <v>0.38666666666666666</v>
      </c>
      <c r="D155" s="54">
        <f>IFERROR(AVERAGE(PARAKH_By_Management!D10,PARAKH_By_Management!H10,PARAKH_By_Management!L10,PARAKH_By_Management!P10,PARAKH_By_Management!T10,PARAKH_By_Management!X10,PARAKH_By_Management!AB10,PARAKH_By_Management!AF10,PARAKH_By_Management!AJ10),0)</f>
        <v>0.55888888888888877</v>
      </c>
      <c r="E155" s="54">
        <f>IFERROR(AVERAGE(PARAKH_By_Management!E10,PARAKH_By_Management!I10,PARAKH_By_Management!M10,PARAKH_By_Management!Q10,PARAKH_By_Management!U10,PARAKH_By_Management!Y10,PARAKH_By_Management!AC10,PARAKH_By_Management!AG10,PARAKH_By_Management!AK10),0)</f>
        <v>0.48222222222222222</v>
      </c>
    </row>
    <row r="156" spans="1:5" x14ac:dyDescent="0.3">
      <c r="A156" s="7" t="str">
        <f>Districts_Setup!$B$10</f>
        <v>Bhavnagar</v>
      </c>
      <c r="B156" s="54">
        <f>IFERROR(AVERAGE(PARAKH_By_Management!B11,PARAKH_By_Management!F11,PARAKH_By_Management!J11,PARAKH_By_Management!N11,PARAKH_By_Management!R11,PARAKH_By_Management!V11,PARAKH_By_Management!Z11,PARAKH_By_Management!AD11,PARAKH_By_Management!AH11),0)</f>
        <v>0.43000000000000005</v>
      </c>
      <c r="C156" s="54">
        <f>IFERROR(AVERAGE(PARAKH_By_Management!C11,PARAKH_By_Management!G11,PARAKH_By_Management!K11,PARAKH_By_Management!O11,PARAKH_By_Management!S11,PARAKH_By_Management!W11,PARAKH_By_Management!AA11,PARAKH_By_Management!AE11,PARAKH_By_Management!AI11),0)</f>
        <v>0.43888888888888888</v>
      </c>
      <c r="D156" s="54">
        <f>IFERROR(AVERAGE(PARAKH_By_Management!D11,PARAKH_By_Management!H11,PARAKH_By_Management!L11,PARAKH_By_Management!P11,PARAKH_By_Management!T11,PARAKH_By_Management!X11,PARAKH_By_Management!AB11,PARAKH_By_Management!AF11,PARAKH_By_Management!AJ11),0)</f>
        <v>0.55333333333333334</v>
      </c>
      <c r="E156" s="54">
        <f>IFERROR(AVERAGE(PARAKH_By_Management!E11,PARAKH_By_Management!I11,PARAKH_By_Management!M11,PARAKH_By_Management!Q11,PARAKH_By_Management!U11,PARAKH_By_Management!Y11,PARAKH_By_Management!AC11,PARAKH_By_Management!AG11,PARAKH_By_Management!AK11),0)</f>
        <v>0.52111111111111119</v>
      </c>
    </row>
    <row r="157" spans="1:5" x14ac:dyDescent="0.3">
      <c r="A157" s="7" t="str">
        <f>Districts_Setup!$B$11</f>
        <v>Botad</v>
      </c>
      <c r="B157" s="54">
        <f>IFERROR(AVERAGE(PARAKH_By_Management!B12,PARAKH_By_Management!F12,PARAKH_By_Management!J12,PARAKH_By_Management!N12,PARAKH_By_Management!R12,PARAKH_By_Management!V12,PARAKH_By_Management!Z12,PARAKH_By_Management!AD12,PARAKH_By_Management!AH12),0)</f>
        <v>0.42</v>
      </c>
      <c r="C157" s="54">
        <f>IFERROR(AVERAGE(PARAKH_By_Management!C12,PARAKH_By_Management!G12,PARAKH_By_Management!K12,PARAKH_By_Management!O12,PARAKH_By_Management!S12,PARAKH_By_Management!W12,PARAKH_By_Management!AA12,PARAKH_By_Management!AE12,PARAKH_By_Management!AI12),0)</f>
        <v>0.39249999999999996</v>
      </c>
      <c r="D157" s="54">
        <f>IFERROR(AVERAGE(PARAKH_By_Management!D12,PARAKH_By_Management!H12,PARAKH_By_Management!L12,PARAKH_By_Management!P12,PARAKH_By_Management!T12,PARAKH_By_Management!X12,PARAKH_By_Management!AB12,PARAKH_By_Management!AF12,PARAKH_By_Management!AJ12),0)</f>
        <v>0.49000000000000005</v>
      </c>
      <c r="E157" s="54">
        <f>IFERROR(AVERAGE(PARAKH_By_Management!E12,PARAKH_By_Management!I12,PARAKH_By_Management!M12,PARAKH_By_Management!Q12,PARAKH_By_Management!U12,PARAKH_By_Management!Y12,PARAKH_By_Management!AC12,PARAKH_By_Management!AG12,PARAKH_By_Management!AK12),0)</f>
        <v>0.44</v>
      </c>
    </row>
    <row r="158" spans="1:5" x14ac:dyDescent="0.3">
      <c r="A158" s="7" t="str">
        <f>Districts_Setup!$B$12</f>
        <v>Chhota Udepur</v>
      </c>
      <c r="B158" s="54">
        <f>IFERROR(AVERAGE(PARAKH_By_Management!B13,PARAKH_By_Management!F13,PARAKH_By_Management!J13,PARAKH_By_Management!N13,PARAKH_By_Management!R13,PARAKH_By_Management!V13,PARAKH_By_Management!Z13,PARAKH_By_Management!AD13,PARAKH_By_Management!AH13),0)</f>
        <v>0.42111111111111116</v>
      </c>
      <c r="C158" s="54">
        <f>IFERROR(AVERAGE(PARAKH_By_Management!C13,PARAKH_By_Management!G13,PARAKH_By_Management!K13,PARAKH_By_Management!O13,PARAKH_By_Management!S13,PARAKH_By_Management!W13,PARAKH_By_Management!AA13,PARAKH_By_Management!AE13,PARAKH_By_Management!AI13),0)</f>
        <v>0.31444444444444442</v>
      </c>
      <c r="D158" s="54">
        <f>IFERROR(AVERAGE(PARAKH_By_Management!D13,PARAKH_By_Management!H13,PARAKH_By_Management!L13,PARAKH_By_Management!P13,PARAKH_By_Management!T13,PARAKH_By_Management!X13,PARAKH_By_Management!AB13,PARAKH_By_Management!AF13,PARAKH_By_Management!AJ13),0)</f>
        <v>0.47142857142857142</v>
      </c>
      <c r="E158" s="54">
        <f>IFERROR(AVERAGE(PARAKH_By_Management!E13,PARAKH_By_Management!I13,PARAKH_By_Management!M13,PARAKH_By_Management!Q13,PARAKH_By_Management!U13,PARAKH_By_Management!Y13,PARAKH_By_Management!AC13,PARAKH_By_Management!AG13,PARAKH_By_Management!AK13),0)</f>
        <v>0.40444444444444444</v>
      </c>
    </row>
    <row r="159" spans="1:5" x14ac:dyDescent="0.3">
      <c r="A159" s="7" t="str">
        <f>Districts_Setup!$B$13</f>
        <v>Dahod</v>
      </c>
      <c r="B159" s="54">
        <f>IFERROR(AVERAGE(PARAKH_By_Management!B14,PARAKH_By_Management!F14,PARAKH_By_Management!J14,PARAKH_By_Management!N14,PARAKH_By_Management!R14,PARAKH_By_Management!V14,PARAKH_By_Management!Z14,PARAKH_By_Management!AD14,PARAKH_By_Management!AH14),0)</f>
        <v>0.40111111111111103</v>
      </c>
      <c r="C159" s="54">
        <f>IFERROR(AVERAGE(PARAKH_By_Management!C14,PARAKH_By_Management!G14,PARAKH_By_Management!K14,PARAKH_By_Management!O14,PARAKH_By_Management!S14,PARAKH_By_Management!W14,PARAKH_By_Management!AA14,PARAKH_By_Management!AE14,PARAKH_By_Management!AI14),0)</f>
        <v>0.41888888888888892</v>
      </c>
      <c r="D159" s="54">
        <f>IFERROR(AVERAGE(PARAKH_By_Management!D14,PARAKH_By_Management!H14,PARAKH_By_Management!L14,PARAKH_By_Management!P14,PARAKH_By_Management!T14,PARAKH_By_Management!X14,PARAKH_By_Management!AB14,PARAKH_By_Management!AF14,PARAKH_By_Management!AJ14),0)</f>
        <v>0.45444444444444443</v>
      </c>
      <c r="E159" s="54">
        <f>IFERROR(AVERAGE(PARAKH_By_Management!E14,PARAKH_By_Management!I14,PARAKH_By_Management!M14,PARAKH_By_Management!Q14,PARAKH_By_Management!U14,PARAKH_By_Management!Y14,PARAKH_By_Management!AC14,PARAKH_By_Management!AG14,PARAKH_By_Management!AK14),0)</f>
        <v>0.44000000000000006</v>
      </c>
    </row>
    <row r="160" spans="1:5" x14ac:dyDescent="0.3">
      <c r="A160" s="7" t="str">
        <f>Districts_Setup!$B$14</f>
        <v>Dang</v>
      </c>
      <c r="B160" s="54">
        <f>IFERROR(AVERAGE(PARAKH_By_Management!B15,PARAKH_By_Management!F15,PARAKH_By_Management!J15,PARAKH_By_Management!N15,PARAKH_By_Management!R15,PARAKH_By_Management!V15,PARAKH_By_Management!Z15,PARAKH_By_Management!AD15,PARAKH_By_Management!AH15),0)</f>
        <v>0.43111111111111106</v>
      </c>
      <c r="C160" s="54">
        <f>IFERROR(AVERAGE(PARAKH_By_Management!C15,PARAKH_By_Management!G15,PARAKH_By_Management!K15,PARAKH_By_Management!O15,PARAKH_By_Management!S15,PARAKH_By_Management!W15,PARAKH_By_Management!AA15,PARAKH_By_Management!AE15,PARAKH_By_Management!AI15),0)</f>
        <v>0.47888888888888892</v>
      </c>
      <c r="D160" s="54">
        <f>IFERROR(AVERAGE(PARAKH_By_Management!D15,PARAKH_By_Management!H15,PARAKH_By_Management!L15,PARAKH_By_Management!P15,PARAKH_By_Management!T15,PARAKH_By_Management!X15,PARAKH_By_Management!AB15,PARAKH_By_Management!AF15,PARAKH_By_Management!AJ15),0)</f>
        <v>0.41000000000000003</v>
      </c>
      <c r="E160" s="54">
        <f>IFERROR(AVERAGE(PARAKH_By_Management!E15,PARAKH_By_Management!I15,PARAKH_By_Management!M15,PARAKH_By_Management!Q15,PARAKH_By_Management!U15,PARAKH_By_Management!Y15,PARAKH_By_Management!AC15,PARAKH_By_Management!AG15,PARAKH_By_Management!AK15),0)</f>
        <v>0.4466666666666666</v>
      </c>
    </row>
    <row r="161" spans="1:5" x14ac:dyDescent="0.3">
      <c r="A161" s="7" t="str">
        <f>Districts_Setup!$B$15</f>
        <v>Devbhoomi Dwarka</v>
      </c>
      <c r="B161" s="54">
        <f>IFERROR(AVERAGE(PARAKH_By_Management!B16,PARAKH_By_Management!F16,PARAKH_By_Management!J16,PARAKH_By_Management!N16,PARAKH_By_Management!R16,PARAKH_By_Management!V16,PARAKH_By_Management!Z16,PARAKH_By_Management!AD16,PARAKH_By_Management!AH16),0)</f>
        <v>0.46444444444444444</v>
      </c>
      <c r="C161" s="54">
        <f>IFERROR(AVERAGE(PARAKH_By_Management!C16,PARAKH_By_Management!G16,PARAKH_By_Management!K16,PARAKH_By_Management!O16,PARAKH_By_Management!S16,PARAKH_By_Management!W16,PARAKH_By_Management!AA16,PARAKH_By_Management!AE16,PARAKH_By_Management!AI16),0)</f>
        <v>0.44444444444444442</v>
      </c>
      <c r="D161" s="54">
        <f>IFERROR(AVERAGE(PARAKH_By_Management!D16,PARAKH_By_Management!H16,PARAKH_By_Management!L16,PARAKH_By_Management!P16,PARAKH_By_Management!T16,PARAKH_By_Management!X16,PARAKH_By_Management!AB16,PARAKH_By_Management!AF16,PARAKH_By_Management!AJ16),0)</f>
        <v>0.50222222222222213</v>
      </c>
      <c r="E161" s="54">
        <f>IFERROR(AVERAGE(PARAKH_By_Management!E16,PARAKH_By_Management!I16,PARAKH_By_Management!M16,PARAKH_By_Management!Q16,PARAKH_By_Management!U16,PARAKH_By_Management!Y16,PARAKH_By_Management!AC16,PARAKH_By_Management!AG16,PARAKH_By_Management!AK16),0)</f>
        <v>0.48222222222222222</v>
      </c>
    </row>
    <row r="162" spans="1:5" x14ac:dyDescent="0.3">
      <c r="A162" s="7" t="str">
        <f>Districts_Setup!$B$16</f>
        <v>Gandhinagar</v>
      </c>
      <c r="B162" s="54">
        <f>IFERROR(AVERAGE(PARAKH_By_Management!B17,PARAKH_By_Management!F17,PARAKH_By_Management!J17,PARAKH_By_Management!N17,PARAKH_By_Management!R17,PARAKH_By_Management!V17,PARAKH_By_Management!Z17,PARAKH_By_Management!AD17,PARAKH_By_Management!AH17),0)</f>
        <v>0.44888888888888889</v>
      </c>
      <c r="C162" s="54">
        <f>IFERROR(AVERAGE(PARAKH_By_Management!C17,PARAKH_By_Management!G17,PARAKH_By_Management!K17,PARAKH_By_Management!O17,PARAKH_By_Management!S17,PARAKH_By_Management!W17,PARAKH_By_Management!AA17,PARAKH_By_Management!AE17,PARAKH_By_Management!AI17),0)</f>
        <v>0.48222222222222233</v>
      </c>
      <c r="D162" s="54">
        <f>IFERROR(AVERAGE(PARAKH_By_Management!D17,PARAKH_By_Management!H17,PARAKH_By_Management!L17,PARAKH_By_Management!P17,PARAKH_By_Management!T17,PARAKH_By_Management!X17,PARAKH_By_Management!AB17,PARAKH_By_Management!AF17,PARAKH_By_Management!AJ17),0)</f>
        <v>0.5722222222222223</v>
      </c>
      <c r="E162" s="54">
        <f>IFERROR(AVERAGE(PARAKH_By_Management!E17,PARAKH_By_Management!I17,PARAKH_By_Management!M17,PARAKH_By_Management!Q17,PARAKH_By_Management!U17,PARAKH_By_Management!Y17,PARAKH_By_Management!AC17,PARAKH_By_Management!AG17,PARAKH_By_Management!AK17),0)</f>
        <v>0.54999999999999993</v>
      </c>
    </row>
    <row r="163" spans="1:5" x14ac:dyDescent="0.3">
      <c r="A163" s="7" t="str">
        <f>Districts_Setup!$B$17</f>
        <v>Gir Somnath</v>
      </c>
      <c r="B163" s="54">
        <f>IFERROR(AVERAGE(PARAKH_By_Management!B18,PARAKH_By_Management!F18,PARAKH_By_Management!J18,PARAKH_By_Management!N18,PARAKH_By_Management!R18,PARAKH_By_Management!V18,PARAKH_By_Management!Z18,PARAKH_By_Management!AD18,PARAKH_By_Management!AH18),0)</f>
        <v>0.39666666666666661</v>
      </c>
      <c r="C163" s="54">
        <f>IFERROR(AVERAGE(PARAKH_By_Management!C18,PARAKH_By_Management!G18,PARAKH_By_Management!K18,PARAKH_By_Management!O18,PARAKH_By_Management!S18,PARAKH_By_Management!W18,PARAKH_By_Management!AA18,PARAKH_By_Management!AE18,PARAKH_By_Management!AI18),0)</f>
        <v>0.30285714285714288</v>
      </c>
      <c r="D163" s="54">
        <f>IFERROR(AVERAGE(PARAKH_By_Management!D18,PARAKH_By_Management!H18,PARAKH_By_Management!L18,PARAKH_By_Management!P18,PARAKH_By_Management!T18,PARAKH_By_Management!X18,PARAKH_By_Management!AB18,PARAKH_By_Management!AF18,PARAKH_By_Management!AJ18),0)</f>
        <v>0.54285714285714282</v>
      </c>
      <c r="E163" s="54">
        <f>IFERROR(AVERAGE(PARAKH_By_Management!E18,PARAKH_By_Management!I18,PARAKH_By_Management!M18,PARAKH_By_Management!Q18,PARAKH_By_Management!U18,PARAKH_By_Management!Y18,PARAKH_By_Management!AC18,PARAKH_By_Management!AG18,PARAKH_By_Management!AK18),0)</f>
        <v>0.43000000000000005</v>
      </c>
    </row>
    <row r="164" spans="1:5" x14ac:dyDescent="0.3">
      <c r="A164" s="7" t="str">
        <f>Districts_Setup!$B$18</f>
        <v>Jamnagar</v>
      </c>
      <c r="B164" s="54">
        <f>IFERROR(AVERAGE(PARAKH_By_Management!B19,PARAKH_By_Management!F19,PARAKH_By_Management!J19,PARAKH_By_Management!N19,PARAKH_By_Management!R19,PARAKH_By_Management!V19,PARAKH_By_Management!Z19,PARAKH_By_Management!AD19,PARAKH_By_Management!AH19),0)</f>
        <v>0.39</v>
      </c>
      <c r="C164" s="54">
        <f>IFERROR(AVERAGE(PARAKH_By_Management!C19,PARAKH_By_Management!G19,PARAKH_By_Management!K19,PARAKH_By_Management!O19,PARAKH_By_Management!S19,PARAKH_By_Management!W19,PARAKH_By_Management!AA19,PARAKH_By_Management!AE19,PARAKH_By_Management!AI19),0)</f>
        <v>0.38333333333333336</v>
      </c>
      <c r="D164" s="54">
        <f>IFERROR(AVERAGE(PARAKH_By_Management!D19,PARAKH_By_Management!H19,PARAKH_By_Management!L19,PARAKH_By_Management!P19,PARAKH_By_Management!T19,PARAKH_By_Management!X19,PARAKH_By_Management!AB19,PARAKH_By_Management!AF19,PARAKH_By_Management!AJ19),0)</f>
        <v>0.52777777777777768</v>
      </c>
      <c r="E164" s="54">
        <f>IFERROR(AVERAGE(PARAKH_By_Management!E19,PARAKH_By_Management!I19,PARAKH_By_Management!M19,PARAKH_By_Management!Q19,PARAKH_By_Management!U19,PARAKH_By_Management!Y19,PARAKH_By_Management!AC19,PARAKH_By_Management!AG19,PARAKH_By_Management!AK19),0)</f>
        <v>0.46666666666666656</v>
      </c>
    </row>
    <row r="165" spans="1:5" x14ac:dyDescent="0.3">
      <c r="A165" s="7" t="str">
        <f>Districts_Setup!$B$19</f>
        <v>Junagadh</v>
      </c>
      <c r="B165" s="54">
        <f>IFERROR(AVERAGE(PARAKH_By_Management!B20,PARAKH_By_Management!F20,PARAKH_By_Management!J20,PARAKH_By_Management!N20,PARAKH_By_Management!R20,PARAKH_By_Management!V20,PARAKH_By_Management!Z20,PARAKH_By_Management!AD20,PARAKH_By_Management!AH20),0)</f>
        <v>0.43111111111111111</v>
      </c>
      <c r="C165" s="54">
        <f>IFERROR(AVERAGE(PARAKH_By_Management!C20,PARAKH_By_Management!G20,PARAKH_By_Management!K20,PARAKH_By_Management!O20,PARAKH_By_Management!S20,PARAKH_By_Management!W20,PARAKH_By_Management!AA20,PARAKH_By_Management!AE20,PARAKH_By_Management!AI20),0)</f>
        <v>0.39444444444444443</v>
      </c>
      <c r="D165" s="54">
        <f>IFERROR(AVERAGE(PARAKH_By_Management!D20,PARAKH_By_Management!H20,PARAKH_By_Management!L20,PARAKH_By_Management!P20,PARAKH_By_Management!T20,PARAKH_By_Management!X20,PARAKH_By_Management!AB20,PARAKH_By_Management!AF20,PARAKH_By_Management!AJ20),0)</f>
        <v>0.52111111111111108</v>
      </c>
      <c r="E165" s="54">
        <f>IFERROR(AVERAGE(PARAKH_By_Management!E20,PARAKH_By_Management!I20,PARAKH_By_Management!M20,PARAKH_By_Management!Q20,PARAKH_By_Management!U20,PARAKH_By_Management!Y20,PARAKH_By_Management!AC20,PARAKH_By_Management!AG20,PARAKH_By_Management!AK20),0)</f>
        <v>0.51666666666666672</v>
      </c>
    </row>
    <row r="166" spans="1:5" x14ac:dyDescent="0.3">
      <c r="A166" s="7" t="str">
        <f>Districts_Setup!$B$20</f>
        <v>Kutch</v>
      </c>
      <c r="B166" s="54">
        <f>IFERROR(AVERAGE(PARAKH_By_Management!B21,PARAKH_By_Management!F21,PARAKH_By_Management!J21,PARAKH_By_Management!N21,PARAKH_By_Management!R21,PARAKH_By_Management!V21,PARAKH_By_Management!Z21,PARAKH_By_Management!AD21,PARAKH_By_Management!AH21),0)</f>
        <v>0.39111111111111119</v>
      </c>
      <c r="C166" s="54">
        <f>IFERROR(AVERAGE(PARAKH_By_Management!C21,PARAKH_By_Management!G21,PARAKH_By_Management!K21,PARAKH_By_Management!O21,PARAKH_By_Management!S21,PARAKH_By_Management!W21,PARAKH_By_Management!AA21,PARAKH_By_Management!AE21,PARAKH_By_Management!AI21),0)</f>
        <v>0.42222222222222222</v>
      </c>
      <c r="D166" s="54">
        <f>IFERROR(AVERAGE(PARAKH_By_Management!D21,PARAKH_By_Management!H21,PARAKH_By_Management!L21,PARAKH_By_Management!P21,PARAKH_By_Management!T21,PARAKH_By_Management!X21,PARAKH_By_Management!AB21,PARAKH_By_Management!AF21,PARAKH_By_Management!AJ21),0)</f>
        <v>0.53888888888888886</v>
      </c>
      <c r="E166" s="54">
        <f>IFERROR(AVERAGE(PARAKH_By_Management!E21,PARAKH_By_Management!I21,PARAKH_By_Management!M21,PARAKH_By_Management!Q21,PARAKH_By_Management!U21,PARAKH_By_Management!Y21,PARAKH_By_Management!AC21,PARAKH_By_Management!AG21,PARAKH_By_Management!AK21),0)</f>
        <v>0.4744444444444445</v>
      </c>
    </row>
    <row r="167" spans="1:5" x14ac:dyDescent="0.3">
      <c r="A167" s="7" t="str">
        <f>Districts_Setup!$B$21</f>
        <v>Kheda</v>
      </c>
      <c r="B167" s="54">
        <f>IFERROR(AVERAGE(PARAKH_By_Management!B22,PARAKH_By_Management!F22,PARAKH_By_Management!J22,PARAKH_By_Management!N22,PARAKH_By_Management!R22,PARAKH_By_Management!V22,PARAKH_By_Management!Z22,PARAKH_By_Management!AD22,PARAKH_By_Management!AH22),0)</f>
        <v>0.38222222222222224</v>
      </c>
      <c r="C167" s="54">
        <f>IFERROR(AVERAGE(PARAKH_By_Management!C22,PARAKH_By_Management!G22,PARAKH_By_Management!K22,PARAKH_By_Management!O22,PARAKH_By_Management!S22,PARAKH_By_Management!W22,PARAKH_By_Management!AA22,PARAKH_By_Management!AE22,PARAKH_By_Management!AI22),0)</f>
        <v>0.39777777777777779</v>
      </c>
      <c r="D167" s="54">
        <f>IFERROR(AVERAGE(PARAKH_By_Management!D22,PARAKH_By_Management!H22,PARAKH_By_Management!L22,PARAKH_By_Management!P22,PARAKH_By_Management!T22,PARAKH_By_Management!X22,PARAKH_By_Management!AB22,PARAKH_By_Management!AF22,PARAKH_By_Management!AJ22),0)</f>
        <v>0.53250000000000008</v>
      </c>
      <c r="E167" s="54">
        <f>IFERROR(AVERAGE(PARAKH_By_Management!E22,PARAKH_By_Management!I22,PARAKH_By_Management!M22,PARAKH_By_Management!Q22,PARAKH_By_Management!U22,PARAKH_By_Management!Y22,PARAKH_By_Management!AC22,PARAKH_By_Management!AG22,PARAKH_By_Management!AK22),0)</f>
        <v>0.43</v>
      </c>
    </row>
    <row r="168" spans="1:5" x14ac:dyDescent="0.3">
      <c r="A168" s="7" t="str">
        <f>Districts_Setup!$B$22</f>
        <v>Mahisagar</v>
      </c>
      <c r="B168" s="54">
        <f>IFERROR(AVERAGE(PARAKH_By_Management!B23,PARAKH_By_Management!F23,PARAKH_By_Management!J23,PARAKH_By_Management!N23,PARAKH_By_Management!R23,PARAKH_By_Management!V23,PARAKH_By_Management!Z23,PARAKH_By_Management!AD23,PARAKH_By_Management!AH23),0)</f>
        <v>0.40888888888888891</v>
      </c>
      <c r="C168" s="54">
        <f>IFERROR(AVERAGE(PARAKH_By_Management!C23,PARAKH_By_Management!G23,PARAKH_By_Management!K23,PARAKH_By_Management!O23,PARAKH_By_Management!S23,PARAKH_By_Management!W23,PARAKH_By_Management!AA23,PARAKH_By_Management!AE23,PARAKH_By_Management!AI23),0)</f>
        <v>0.39555555555555555</v>
      </c>
      <c r="D168" s="54">
        <f>IFERROR(AVERAGE(PARAKH_By_Management!D23,PARAKH_By_Management!H23,PARAKH_By_Management!L23,PARAKH_By_Management!P23,PARAKH_By_Management!T23,PARAKH_By_Management!X23,PARAKH_By_Management!AB23,PARAKH_By_Management!AF23,PARAKH_By_Management!AJ23),0)</f>
        <v>0.43142857142857144</v>
      </c>
      <c r="E168" s="54">
        <f>IFERROR(AVERAGE(PARAKH_By_Management!E23,PARAKH_By_Management!I23,PARAKH_By_Management!M23,PARAKH_By_Management!Q23,PARAKH_By_Management!U23,PARAKH_By_Management!Y23,PARAKH_By_Management!AC23,PARAKH_By_Management!AG23,PARAKH_By_Management!AK23),0)</f>
        <v>0.46888888888888897</v>
      </c>
    </row>
    <row r="169" spans="1:5" x14ac:dyDescent="0.3">
      <c r="A169" s="7" t="str">
        <f>Districts_Setup!$B$23</f>
        <v>Mehsana</v>
      </c>
      <c r="B169" s="54">
        <f>IFERROR(AVERAGE(PARAKH_By_Management!B24,PARAKH_By_Management!F24,PARAKH_By_Management!J24,PARAKH_By_Management!N24,PARAKH_By_Management!R24,PARAKH_By_Management!V24,PARAKH_By_Management!Z24,PARAKH_By_Management!AD24,PARAKH_By_Management!AH24),0)</f>
        <v>0.41666666666666669</v>
      </c>
      <c r="C169" s="54">
        <f>IFERROR(AVERAGE(PARAKH_By_Management!C24,PARAKH_By_Management!G24,PARAKH_By_Management!K24,PARAKH_By_Management!O24,PARAKH_By_Management!S24,PARAKH_By_Management!W24,PARAKH_By_Management!AA24,PARAKH_By_Management!AE24,PARAKH_By_Management!AI24),0)</f>
        <v>0.4588888888888889</v>
      </c>
      <c r="D169" s="54">
        <f>IFERROR(AVERAGE(PARAKH_By_Management!D24,PARAKH_By_Management!H24,PARAKH_By_Management!L24,PARAKH_By_Management!P24,PARAKH_By_Management!T24,PARAKH_By_Management!X24,PARAKH_By_Management!AB24,PARAKH_By_Management!AF24,PARAKH_By_Management!AJ24),0)</f>
        <v>0.56888888888888889</v>
      </c>
      <c r="E169" s="54">
        <f>IFERROR(AVERAGE(PARAKH_By_Management!E24,PARAKH_By_Management!I24,PARAKH_By_Management!M24,PARAKH_By_Management!Q24,PARAKH_By_Management!U24,PARAKH_By_Management!Y24,PARAKH_By_Management!AC24,PARAKH_By_Management!AG24,PARAKH_By_Management!AK24),0)</f>
        <v>0.48333333333333339</v>
      </c>
    </row>
    <row r="170" spans="1:5" x14ac:dyDescent="0.3">
      <c r="A170" s="7" t="str">
        <f>Districts_Setup!$B$24</f>
        <v>Morbi</v>
      </c>
      <c r="B170" s="54">
        <f>IFERROR(AVERAGE(PARAKH_By_Management!B25,PARAKH_By_Management!F25,PARAKH_By_Management!J25,PARAKH_By_Management!N25,PARAKH_By_Management!R25,PARAKH_By_Management!V25,PARAKH_By_Management!Z25,PARAKH_By_Management!AD25,PARAKH_By_Management!AH25),0)</f>
        <v>0.41</v>
      </c>
      <c r="C170" s="54">
        <f>IFERROR(AVERAGE(PARAKH_By_Management!C25,PARAKH_By_Management!G25,PARAKH_By_Management!K25,PARAKH_By_Management!O25,PARAKH_By_Management!S25,PARAKH_By_Management!W25,PARAKH_By_Management!AA25,PARAKH_By_Management!AE25,PARAKH_By_Management!AI25),0)</f>
        <v>0.44428571428571423</v>
      </c>
      <c r="D170" s="54">
        <f>IFERROR(AVERAGE(PARAKH_By_Management!D25,PARAKH_By_Management!H25,PARAKH_By_Management!L25,PARAKH_By_Management!P25,PARAKH_By_Management!T25,PARAKH_By_Management!X25,PARAKH_By_Management!AB25,PARAKH_By_Management!AF25,PARAKH_By_Management!AJ25),0)</f>
        <v>0.49142857142857144</v>
      </c>
      <c r="E170" s="54">
        <f>IFERROR(AVERAGE(PARAKH_By_Management!E25,PARAKH_By_Management!I25,PARAKH_By_Management!M25,PARAKH_By_Management!Q25,PARAKH_By_Management!U25,PARAKH_By_Management!Y25,PARAKH_By_Management!AC25,PARAKH_By_Management!AG25,PARAKH_By_Management!AK25),0)</f>
        <v>0.4811111111111111</v>
      </c>
    </row>
    <row r="171" spans="1:5" x14ac:dyDescent="0.3">
      <c r="A171" s="7" t="str">
        <f>Districts_Setup!$B$25</f>
        <v>Narmada</v>
      </c>
      <c r="B171" s="54">
        <f>IFERROR(AVERAGE(PARAKH_By_Management!B26,PARAKH_By_Management!F26,PARAKH_By_Management!J26,PARAKH_By_Management!N26,PARAKH_By_Management!R26,PARAKH_By_Management!V26,PARAKH_By_Management!Z26,PARAKH_By_Management!AD26,PARAKH_By_Management!AH26),0)</f>
        <v>0.4244444444444444</v>
      </c>
      <c r="C171" s="54">
        <f>IFERROR(AVERAGE(PARAKH_By_Management!C26,PARAKH_By_Management!G26,PARAKH_By_Management!K26,PARAKH_By_Management!O26,PARAKH_By_Management!S26,PARAKH_By_Management!W26,PARAKH_By_Management!AA26,PARAKH_By_Management!AE26,PARAKH_By_Management!AI26),0)</f>
        <v>0.5</v>
      </c>
      <c r="D171" s="54">
        <f>IFERROR(AVERAGE(PARAKH_By_Management!D26,PARAKH_By_Management!H26,PARAKH_By_Management!L26,PARAKH_By_Management!P26,PARAKH_By_Management!T26,PARAKH_By_Management!X26,PARAKH_By_Management!AB26,PARAKH_By_Management!AF26,PARAKH_By_Management!AJ26),0)</f>
        <v>0.50571428571428567</v>
      </c>
      <c r="E171" s="54">
        <f>IFERROR(AVERAGE(PARAKH_By_Management!E26,PARAKH_By_Management!I26,PARAKH_By_Management!M26,PARAKH_By_Management!Q26,PARAKH_By_Management!U26,PARAKH_By_Management!Y26,PARAKH_By_Management!AC26,PARAKH_By_Management!AG26,PARAKH_By_Management!AK26),0)</f>
        <v>0.50222222222222224</v>
      </c>
    </row>
    <row r="172" spans="1:5" x14ac:dyDescent="0.3">
      <c r="A172" s="7" t="str">
        <f>Districts_Setup!$B$26</f>
        <v>Navsari</v>
      </c>
      <c r="B172" s="54">
        <f>IFERROR(AVERAGE(PARAKH_By_Management!B27,PARAKH_By_Management!F27,PARAKH_By_Management!J27,PARAKH_By_Management!N27,PARAKH_By_Management!R27,PARAKH_By_Management!V27,PARAKH_By_Management!Z27,PARAKH_By_Management!AD27,PARAKH_By_Management!AH27),0)</f>
        <v>0.43111111111111117</v>
      </c>
      <c r="C172" s="54">
        <f>IFERROR(AVERAGE(PARAKH_By_Management!C27,PARAKH_By_Management!G27,PARAKH_By_Management!K27,PARAKH_By_Management!O27,PARAKH_By_Management!S27,PARAKH_By_Management!W27,PARAKH_By_Management!AA27,PARAKH_By_Management!AE27,PARAKH_By_Management!AI27),0)</f>
        <v>0.39999999999999997</v>
      </c>
      <c r="D172" s="54">
        <f>IFERROR(AVERAGE(PARAKH_By_Management!D27,PARAKH_By_Management!H27,PARAKH_By_Management!L27,PARAKH_By_Management!P27,PARAKH_By_Management!T27,PARAKH_By_Management!X27,PARAKH_By_Management!AB27,PARAKH_By_Management!AF27,PARAKH_By_Management!AJ27),0)</f>
        <v>0.5357142857142857</v>
      </c>
      <c r="E172" s="54">
        <f>IFERROR(AVERAGE(PARAKH_By_Management!E27,PARAKH_By_Management!I27,PARAKH_By_Management!M27,PARAKH_By_Management!Q27,PARAKH_By_Management!U27,PARAKH_By_Management!Y27,PARAKH_By_Management!AC27,PARAKH_By_Management!AG27,PARAKH_By_Management!AK27),0)</f>
        <v>0.5066666666666666</v>
      </c>
    </row>
    <row r="173" spans="1:5" x14ac:dyDescent="0.3">
      <c r="A173" s="7" t="str">
        <f>Districts_Setup!$B$27</f>
        <v>Panchmahal</v>
      </c>
      <c r="B173" s="54">
        <f>IFERROR(AVERAGE(PARAKH_By_Management!B28,PARAKH_By_Management!F28,PARAKH_By_Management!J28,PARAKH_By_Management!N28,PARAKH_By_Management!R28,PARAKH_By_Management!V28,PARAKH_By_Management!Z28,PARAKH_By_Management!AD28,PARAKH_By_Management!AH28),0)</f>
        <v>0.42444444444444446</v>
      </c>
      <c r="C173" s="54">
        <f>IFERROR(AVERAGE(PARAKH_By_Management!C28,PARAKH_By_Management!G28,PARAKH_By_Management!K28,PARAKH_By_Management!O28,PARAKH_By_Management!S28,PARAKH_By_Management!W28,PARAKH_By_Management!AA28,PARAKH_By_Management!AE28,PARAKH_By_Management!AI28),0)</f>
        <v>0.45444444444444443</v>
      </c>
      <c r="D173" s="54">
        <f>IFERROR(AVERAGE(PARAKH_By_Management!D28,PARAKH_By_Management!H28,PARAKH_By_Management!L28,PARAKH_By_Management!P28,PARAKH_By_Management!T28,PARAKH_By_Management!X28,PARAKH_By_Management!AB28,PARAKH_By_Management!AF28,PARAKH_By_Management!AJ28),0)</f>
        <v>0.51111111111111107</v>
      </c>
      <c r="E173" s="54">
        <f>IFERROR(AVERAGE(PARAKH_By_Management!E28,PARAKH_By_Management!I28,PARAKH_By_Management!M28,PARAKH_By_Management!Q28,PARAKH_By_Management!U28,PARAKH_By_Management!Y28,PARAKH_By_Management!AC28,PARAKH_By_Management!AG28,PARAKH_By_Management!AK28),0)</f>
        <v>0.448888888888889</v>
      </c>
    </row>
    <row r="174" spans="1:5" x14ac:dyDescent="0.3">
      <c r="A174" s="7" t="str">
        <f>Districts_Setup!$B$28</f>
        <v>Patan</v>
      </c>
      <c r="B174" s="54">
        <f>IFERROR(AVERAGE(PARAKH_By_Management!B29,PARAKH_By_Management!F29,PARAKH_By_Management!J29,PARAKH_By_Management!N29,PARAKH_By_Management!R29,PARAKH_By_Management!V29,PARAKH_By_Management!Z29,PARAKH_By_Management!AD29,PARAKH_By_Management!AH29),0)</f>
        <v>0.39777777777777784</v>
      </c>
      <c r="C174" s="54">
        <f>IFERROR(AVERAGE(PARAKH_By_Management!C29,PARAKH_By_Management!G29,PARAKH_By_Management!K29,PARAKH_By_Management!O29,PARAKH_By_Management!S29,PARAKH_By_Management!W29,PARAKH_By_Management!AA29,PARAKH_By_Management!AE29,PARAKH_By_Management!AI29),0)</f>
        <v>0.43555555555555553</v>
      </c>
      <c r="D174" s="54">
        <f>IFERROR(AVERAGE(PARAKH_By_Management!D29,PARAKH_By_Management!H29,PARAKH_By_Management!L29,PARAKH_By_Management!P29,PARAKH_By_Management!T29,PARAKH_By_Management!X29,PARAKH_By_Management!AB29,PARAKH_By_Management!AF29,PARAKH_By_Management!AJ29),0)</f>
        <v>0.57666666666666666</v>
      </c>
      <c r="E174" s="54">
        <f>IFERROR(AVERAGE(PARAKH_By_Management!E29,PARAKH_By_Management!I29,PARAKH_By_Management!M29,PARAKH_By_Management!Q29,PARAKH_By_Management!U29,PARAKH_By_Management!Y29,PARAKH_By_Management!AC29,PARAKH_By_Management!AG29,PARAKH_By_Management!AK29),0)</f>
        <v>0.45555555555555549</v>
      </c>
    </row>
    <row r="175" spans="1:5" x14ac:dyDescent="0.3">
      <c r="A175" s="7" t="str">
        <f>Districts_Setup!$B$29</f>
        <v>Porbandar</v>
      </c>
      <c r="B175" s="54">
        <f>IFERROR(AVERAGE(PARAKH_By_Management!B30,PARAKH_By_Management!F30,PARAKH_By_Management!J30,PARAKH_By_Management!N30,PARAKH_By_Management!R30,PARAKH_By_Management!V30,PARAKH_By_Management!Z30,PARAKH_By_Management!AD30,PARAKH_By_Management!AH30),0)</f>
        <v>0.41111111111111115</v>
      </c>
      <c r="C175" s="54">
        <f>IFERROR(AVERAGE(PARAKH_By_Management!C30,PARAKH_By_Management!G30,PARAKH_By_Management!K30,PARAKH_By_Management!O30,PARAKH_By_Management!S30,PARAKH_By_Management!W30,PARAKH_By_Management!AA30,PARAKH_By_Management!AE30,PARAKH_By_Management!AI30),0)</f>
        <v>0.37250000000000005</v>
      </c>
      <c r="D175" s="54">
        <f>IFERROR(AVERAGE(PARAKH_By_Management!D30,PARAKH_By_Management!H30,PARAKH_By_Management!L30,PARAKH_By_Management!P30,PARAKH_By_Management!T30,PARAKH_By_Management!X30,PARAKH_By_Management!AB30,PARAKH_By_Management!AF30,PARAKH_By_Management!AJ30),0)</f>
        <v>0.4655555555555555</v>
      </c>
      <c r="E175" s="54">
        <f>IFERROR(AVERAGE(PARAKH_By_Management!E30,PARAKH_By_Management!I30,PARAKH_By_Management!M30,PARAKH_By_Management!Q30,PARAKH_By_Management!U30,PARAKH_By_Management!Y30,PARAKH_By_Management!AC30,PARAKH_By_Management!AG30,PARAKH_By_Management!AK30),0)</f>
        <v>0.44888888888888878</v>
      </c>
    </row>
    <row r="176" spans="1:5" x14ac:dyDescent="0.3">
      <c r="A176" s="7" t="str">
        <f>Districts_Setup!$B$30</f>
        <v>Rajkot</v>
      </c>
      <c r="B176" s="54">
        <f>IFERROR(AVERAGE(PARAKH_By_Management!B31,PARAKH_By_Management!F31,PARAKH_By_Management!J31,PARAKH_By_Management!N31,PARAKH_By_Management!R31,PARAKH_By_Management!V31,PARAKH_By_Management!Z31,PARAKH_By_Management!AD31,PARAKH_By_Management!AH31),0)</f>
        <v>0.40111111111111108</v>
      </c>
      <c r="C176" s="54">
        <f>IFERROR(AVERAGE(PARAKH_By_Management!C31,PARAKH_By_Management!G31,PARAKH_By_Management!K31,PARAKH_By_Management!O31,PARAKH_By_Management!S31,PARAKH_By_Management!W31,PARAKH_By_Management!AA31,PARAKH_By_Management!AE31,PARAKH_By_Management!AI31),0)</f>
        <v>0.4811111111111111</v>
      </c>
      <c r="D176" s="54">
        <f>IFERROR(AVERAGE(PARAKH_By_Management!D31,PARAKH_By_Management!H31,PARAKH_By_Management!L31,PARAKH_By_Management!P31,PARAKH_By_Management!T31,PARAKH_By_Management!X31,PARAKH_By_Management!AB31,PARAKH_By_Management!AF31,PARAKH_By_Management!AJ31),0)</f>
        <v>0.50777777777777777</v>
      </c>
      <c r="E176" s="54">
        <f>IFERROR(AVERAGE(PARAKH_By_Management!E31,PARAKH_By_Management!I31,PARAKH_By_Management!M31,PARAKH_By_Management!Q31,PARAKH_By_Management!U31,PARAKH_By_Management!Y31,PARAKH_By_Management!AC31,PARAKH_By_Management!AG31,PARAKH_By_Management!AK31),0)</f>
        <v>0.50444444444444447</v>
      </c>
    </row>
    <row r="177" spans="1:7" x14ac:dyDescent="0.3">
      <c r="A177" s="7" t="str">
        <f>Districts_Setup!$B$31</f>
        <v>Sabarkantha</v>
      </c>
      <c r="B177" s="54">
        <f>IFERROR(AVERAGE(PARAKH_By_Management!B32,PARAKH_By_Management!F32,PARAKH_By_Management!J32,PARAKH_By_Management!N32,PARAKH_By_Management!R32,PARAKH_By_Management!V32,PARAKH_By_Management!Z32,PARAKH_By_Management!AD32,PARAKH_By_Management!AH32),0)</f>
        <v>0.3955555555555556</v>
      </c>
      <c r="C177" s="54">
        <f>IFERROR(AVERAGE(PARAKH_By_Management!C32,PARAKH_By_Management!G32,PARAKH_By_Management!K32,PARAKH_By_Management!O32,PARAKH_By_Management!S32,PARAKH_By_Management!W32,PARAKH_By_Management!AA32,PARAKH_By_Management!AE32,PARAKH_By_Management!AI32),0)</f>
        <v>0.48777777777777775</v>
      </c>
      <c r="D177" s="54">
        <f>IFERROR(AVERAGE(PARAKH_By_Management!D32,PARAKH_By_Management!H32,PARAKH_By_Management!L32,PARAKH_By_Management!P32,PARAKH_By_Management!T32,PARAKH_By_Management!X32,PARAKH_By_Management!AB32,PARAKH_By_Management!AF32,PARAKH_By_Management!AJ32),0)</f>
        <v>0.44777777777777783</v>
      </c>
      <c r="E177" s="54">
        <f>IFERROR(AVERAGE(PARAKH_By_Management!E32,PARAKH_By_Management!I32,PARAKH_By_Management!M32,PARAKH_By_Management!Q32,PARAKH_By_Management!U32,PARAKH_By_Management!Y32,PARAKH_By_Management!AC32,PARAKH_By_Management!AG32,PARAKH_By_Management!AK32),0)</f>
        <v>0.48444444444444446</v>
      </c>
    </row>
    <row r="178" spans="1:7" x14ac:dyDescent="0.3">
      <c r="A178" s="7" t="str">
        <f>Districts_Setup!$B$32</f>
        <v>Surat</v>
      </c>
      <c r="B178" s="54">
        <f>IFERROR(AVERAGE(PARAKH_By_Management!B33,PARAKH_By_Management!F33,PARAKH_By_Management!J33,PARAKH_By_Management!N33,PARAKH_By_Management!R33,PARAKH_By_Management!V33,PARAKH_By_Management!Z33,PARAKH_By_Management!AD33,PARAKH_By_Management!AH33),0)</f>
        <v>0.39888888888888885</v>
      </c>
      <c r="C178" s="54">
        <f>IFERROR(AVERAGE(PARAKH_By_Management!C33,PARAKH_By_Management!G33,PARAKH_By_Management!K33,PARAKH_By_Management!O33,PARAKH_By_Management!S33,PARAKH_By_Management!W33,PARAKH_By_Management!AA33,PARAKH_By_Management!AE33,PARAKH_By_Management!AI33),0)</f>
        <v>0.46555555555555561</v>
      </c>
      <c r="D178" s="54">
        <f>IFERROR(AVERAGE(PARAKH_By_Management!D33,PARAKH_By_Management!H33,PARAKH_By_Management!L33,PARAKH_By_Management!P33,PARAKH_By_Management!T33,PARAKH_By_Management!X33,PARAKH_By_Management!AB33,PARAKH_By_Management!AF33,PARAKH_By_Management!AJ33),0)</f>
        <v>0.61111111111111116</v>
      </c>
      <c r="E178" s="54">
        <f>IFERROR(AVERAGE(PARAKH_By_Management!E33,PARAKH_By_Management!I33,PARAKH_By_Management!M33,PARAKH_By_Management!Q33,PARAKH_By_Management!U33,PARAKH_By_Management!Y33,PARAKH_By_Management!AC33,PARAKH_By_Management!AG33,PARAKH_By_Management!AK33),0)</f>
        <v>0.50333333333333341</v>
      </c>
    </row>
    <row r="179" spans="1:7" x14ac:dyDescent="0.3">
      <c r="A179" s="7" t="str">
        <f>Districts_Setup!$B$33</f>
        <v>Surendranagar</v>
      </c>
      <c r="B179" s="54">
        <f>IFERROR(AVERAGE(PARAKH_By_Management!B34,PARAKH_By_Management!F34,PARAKH_By_Management!J34,PARAKH_By_Management!N34,PARAKH_By_Management!R34,PARAKH_By_Management!V34,PARAKH_By_Management!Z34,PARAKH_By_Management!AD34,PARAKH_By_Management!AH34),0)</f>
        <v>0.41555555555555557</v>
      </c>
      <c r="C179" s="54">
        <f>IFERROR(AVERAGE(PARAKH_By_Management!C34,PARAKH_By_Management!G34,PARAKH_By_Management!K34,PARAKH_By_Management!O34,PARAKH_By_Management!S34,PARAKH_By_Management!W34,PARAKH_By_Management!AA34,PARAKH_By_Management!AE34,PARAKH_By_Management!AI34),0)</f>
        <v>0.43444444444444447</v>
      </c>
      <c r="D179" s="54">
        <f>IFERROR(AVERAGE(PARAKH_By_Management!D34,PARAKH_By_Management!H34,PARAKH_By_Management!L34,PARAKH_By_Management!P34,PARAKH_By_Management!T34,PARAKH_By_Management!X34,PARAKH_By_Management!AB34,PARAKH_By_Management!AF34,PARAKH_By_Management!AJ34),0)</f>
        <v>0.51333333333333331</v>
      </c>
      <c r="E179" s="54">
        <f>IFERROR(AVERAGE(PARAKH_By_Management!E34,PARAKH_By_Management!I34,PARAKH_By_Management!M34,PARAKH_By_Management!Q34,PARAKH_By_Management!U34,PARAKH_By_Management!Y34,PARAKH_By_Management!AC34,PARAKH_By_Management!AG34,PARAKH_By_Management!AK34),0)</f>
        <v>0.51666666666666661</v>
      </c>
    </row>
    <row r="180" spans="1:7" x14ac:dyDescent="0.3">
      <c r="A180" s="7" t="str">
        <f>Districts_Setup!$B$34</f>
        <v>Tapi</v>
      </c>
      <c r="B180" s="54">
        <f>IFERROR(AVERAGE(PARAKH_By_Management!B35,PARAKH_By_Management!F35,PARAKH_By_Management!J35,PARAKH_By_Management!N35,PARAKH_By_Management!R35,PARAKH_By_Management!V35,PARAKH_By_Management!Z35,PARAKH_By_Management!AD35,PARAKH_By_Management!AH35),0)</f>
        <v>0.45777777777777778</v>
      </c>
      <c r="C180" s="54">
        <f>IFERROR(AVERAGE(PARAKH_By_Management!C35,PARAKH_By_Management!G35,PARAKH_By_Management!K35,PARAKH_By_Management!O35,PARAKH_By_Management!S35,PARAKH_By_Management!W35,PARAKH_By_Management!AA35,PARAKH_By_Management!AE35,PARAKH_By_Management!AI35),0)</f>
        <v>0.40428571428571425</v>
      </c>
      <c r="D180" s="54">
        <f>IFERROR(AVERAGE(PARAKH_By_Management!D35,PARAKH_By_Management!H35,PARAKH_By_Management!L35,PARAKH_By_Management!P35,PARAKH_By_Management!T35,PARAKH_By_Management!X35,PARAKH_By_Management!AB35,PARAKH_By_Management!AF35,PARAKH_By_Management!AJ35),0)</f>
        <v>0.54222222222222227</v>
      </c>
      <c r="E180" s="54">
        <f>IFERROR(AVERAGE(PARAKH_By_Management!E35,PARAKH_By_Management!I35,PARAKH_By_Management!M35,PARAKH_By_Management!Q35,PARAKH_By_Management!U35,PARAKH_By_Management!Y35,PARAKH_By_Management!AC35,PARAKH_By_Management!AG35,PARAKH_By_Management!AK35),0)</f>
        <v>0.49888888888888883</v>
      </c>
    </row>
    <row r="181" spans="1:7" x14ac:dyDescent="0.3">
      <c r="A181" s="7" t="str">
        <f>Districts_Setup!$B$35</f>
        <v>Vadodara</v>
      </c>
      <c r="B181" s="54">
        <f>IFERROR(AVERAGE(PARAKH_By_Management!B36,PARAKH_By_Management!F36,PARAKH_By_Management!J36,PARAKH_By_Management!N36,PARAKH_By_Management!R36,PARAKH_By_Management!V36,PARAKH_By_Management!Z36,PARAKH_By_Management!AD36,PARAKH_By_Management!AH36),0)</f>
        <v>0.37111111111111117</v>
      </c>
      <c r="C181" s="54">
        <f>IFERROR(AVERAGE(PARAKH_By_Management!C36,PARAKH_By_Management!G36,PARAKH_By_Management!K36,PARAKH_By_Management!O36,PARAKH_By_Management!S36,PARAKH_By_Management!W36,PARAKH_By_Management!AA36,PARAKH_By_Management!AE36,PARAKH_By_Management!AI36),0)</f>
        <v>0.44999999999999996</v>
      </c>
      <c r="D181" s="54">
        <f>IFERROR(AVERAGE(PARAKH_By_Management!D36,PARAKH_By_Management!H36,PARAKH_By_Management!L36,PARAKH_By_Management!P36,PARAKH_By_Management!T36,PARAKH_By_Management!X36,PARAKH_By_Management!AB36,PARAKH_By_Management!AF36,PARAKH_By_Management!AJ36),0)</f>
        <v>0.57777777777777795</v>
      </c>
      <c r="E181" s="54">
        <f>IFERROR(AVERAGE(PARAKH_By_Management!E36,PARAKH_By_Management!I36,PARAKH_By_Management!M36,PARAKH_By_Management!Q36,PARAKH_By_Management!U36,PARAKH_By_Management!Y36,PARAKH_By_Management!AC36,PARAKH_By_Management!AG36,PARAKH_By_Management!AK36),0)</f>
        <v>0.51555555555555554</v>
      </c>
    </row>
    <row r="182" spans="1:7" x14ac:dyDescent="0.3">
      <c r="A182" s="7" t="str">
        <f>Districts_Setup!$B$36</f>
        <v>Valsad</v>
      </c>
      <c r="B182" s="54">
        <f>IFERROR(AVERAGE(PARAKH_By_Management!B37,PARAKH_By_Management!F37,PARAKH_By_Management!J37,PARAKH_By_Management!N37,PARAKH_By_Management!R37,PARAKH_By_Management!V37,PARAKH_By_Management!Z37,PARAKH_By_Management!AD37,PARAKH_By_Management!AH37),0)</f>
        <v>0.40111111111111108</v>
      </c>
      <c r="C182" s="54">
        <f>IFERROR(AVERAGE(PARAKH_By_Management!C37,PARAKH_By_Management!G37,PARAKH_By_Management!K37,PARAKH_By_Management!O37,PARAKH_By_Management!S37,PARAKH_By_Management!W37,PARAKH_By_Management!AA37,PARAKH_By_Management!AE37,PARAKH_By_Management!AI37),0)</f>
        <v>0.44888888888888889</v>
      </c>
      <c r="D182" s="54">
        <f>IFERROR(AVERAGE(PARAKH_By_Management!D37,PARAKH_By_Management!H37,PARAKH_By_Management!L37,PARAKH_By_Management!P37,PARAKH_By_Management!T37,PARAKH_By_Management!X37,PARAKH_By_Management!AB37,PARAKH_By_Management!AF37,PARAKH_By_Management!AJ37),0)</f>
        <v>0.53666666666666674</v>
      </c>
      <c r="E182" s="54">
        <f>IFERROR(AVERAGE(PARAKH_By_Management!E37,PARAKH_By_Management!I37,PARAKH_By_Management!M37,PARAKH_By_Management!Q37,PARAKH_By_Management!U37,PARAKH_By_Management!Y37,PARAKH_By_Management!AC37,PARAKH_By_Management!AG37,PARAKH_By_Management!AK37),0)</f>
        <v>0.50444444444444447</v>
      </c>
    </row>
    <row r="184" spans="1:7" ht="15.6" x14ac:dyDescent="0.3">
      <c r="A184" s="35" t="s">
        <v>709</v>
      </c>
    </row>
    <row r="185" spans="1:7" ht="24" x14ac:dyDescent="0.3">
      <c r="A185" s="71" t="s">
        <v>619</v>
      </c>
      <c r="B185" s="71" t="s">
        <v>641</v>
      </c>
      <c r="C185" s="71" t="s">
        <v>642</v>
      </c>
      <c r="D185" s="71" t="s">
        <v>643</v>
      </c>
      <c r="E185" s="71" t="s">
        <v>644</v>
      </c>
      <c r="F185" s="71" t="s">
        <v>710</v>
      </c>
      <c r="G185" s="71" t="s">
        <v>711</v>
      </c>
    </row>
    <row r="186" spans="1:7" x14ac:dyDescent="0.3">
      <c r="A186" s="7" t="str">
        <f>Districts_Setup!$B$4</f>
        <v>Ahmedabad</v>
      </c>
      <c r="B186" s="54">
        <f>IFERROR(AVERAGE(PARAKH_By_SocialGroup!B5,PARAKH_By_SocialGroup!F5,PARAKH_By_SocialGroup!J5,PARAKH_By_SocialGroup!N5,PARAKH_By_SocialGroup!R5,PARAKH_By_SocialGroup!V5,PARAKH_By_SocialGroup!Z5,PARAKH_By_SocialGroup!AD5,PARAKH_By_SocialGroup!AH5),0)</f>
        <v>0.44555555555555554</v>
      </c>
      <c r="C186" s="54">
        <f>IFERROR(AVERAGE(PARAKH_By_SocialGroup!C5,PARAKH_By_SocialGroup!G5,PARAKH_By_SocialGroup!K5,PARAKH_By_SocialGroup!O5,PARAKH_By_SocialGroup!S5,PARAKH_By_SocialGroup!W5,PARAKH_By_SocialGroup!AA5,PARAKH_By_SocialGroup!AE5,PARAKH_By_SocialGroup!AI5),0)</f>
        <v>0.41666666666666669</v>
      </c>
      <c r="D186" s="54">
        <f>IFERROR(AVERAGE(PARAKH_By_SocialGroup!D5,PARAKH_By_SocialGroup!H5,PARAKH_By_SocialGroup!L5,PARAKH_By_SocialGroup!P5,PARAKH_By_SocialGroup!T5,PARAKH_By_SocialGroup!X5,PARAKH_By_SocialGroup!AB5,PARAKH_By_SocialGroup!AF5,PARAKH_By_SocialGroup!AJ5),0)</f>
        <v>0.44222222222222218</v>
      </c>
      <c r="E186" s="54">
        <f>IFERROR(AVERAGE(PARAKH_By_SocialGroup!E5,PARAKH_By_SocialGroup!I5,PARAKH_By_SocialGroup!M5,PARAKH_By_SocialGroup!Q5,PARAKH_By_SocialGroup!U5,PARAKH_By_SocialGroup!Y5,PARAKH_By_SocialGroup!AC5,PARAKH_By_SocialGroup!AG5,PARAKH_By_SocialGroup!AK5),0)</f>
        <v>0.47222222222222221</v>
      </c>
      <c r="F186" s="70">
        <f t="shared" ref="F186:F218" si="3">E186-B186</f>
        <v>2.6666666666666672E-2</v>
      </c>
      <c r="G186" s="70">
        <f t="shared" ref="G186:G218" si="4">E186-C186</f>
        <v>5.5555555555555525E-2</v>
      </c>
    </row>
    <row r="187" spans="1:7" x14ac:dyDescent="0.3">
      <c r="A187" s="7" t="str">
        <f>Districts_Setup!$B$5</f>
        <v>Amreli</v>
      </c>
      <c r="B187" s="54">
        <f>IFERROR(AVERAGE(PARAKH_By_SocialGroup!B6,PARAKH_By_SocialGroup!F6,PARAKH_By_SocialGroup!J6,PARAKH_By_SocialGroup!N6,PARAKH_By_SocialGroup!R6,PARAKH_By_SocialGroup!V6,PARAKH_By_SocialGroup!Z6,PARAKH_By_SocialGroup!AD6,PARAKH_By_SocialGroup!AH6),0)</f>
        <v>0.45222222222222214</v>
      </c>
      <c r="C187" s="54">
        <f>IFERROR(AVERAGE(PARAKH_By_SocialGroup!C6,PARAKH_By_SocialGroup!G6,PARAKH_By_SocialGroup!K6,PARAKH_By_SocialGroup!O6,PARAKH_By_SocialGroup!S6,PARAKH_By_SocialGroup!W6,PARAKH_By_SocialGroup!AA6,PARAKH_By_SocialGroup!AE6,PARAKH_By_SocialGroup!AI6),0)</f>
        <v>0.41222222222222221</v>
      </c>
      <c r="D187" s="54">
        <f>IFERROR(AVERAGE(PARAKH_By_SocialGroup!D6,PARAKH_By_SocialGroup!H6,PARAKH_By_SocialGroup!L6,PARAKH_By_SocialGroup!P6,PARAKH_By_SocialGroup!T6,PARAKH_By_SocialGroup!X6,PARAKH_By_SocialGroup!AB6,PARAKH_By_SocialGroup!AF6,PARAKH_By_SocialGroup!AJ6),0)</f>
        <v>0.41000000000000003</v>
      </c>
      <c r="E187" s="54">
        <f>IFERROR(AVERAGE(PARAKH_By_SocialGroup!E6,PARAKH_By_SocialGroup!I6,PARAKH_By_SocialGroup!M6,PARAKH_By_SocialGroup!Q6,PARAKH_By_SocialGroup!U6,PARAKH_By_SocialGroup!Y6,PARAKH_By_SocialGroup!AC6,PARAKH_By_SocialGroup!AG6,PARAKH_By_SocialGroup!AK6),0)</f>
        <v>0.48888888888888882</v>
      </c>
      <c r="F187" s="70">
        <f t="shared" si="3"/>
        <v>3.6666666666666681E-2</v>
      </c>
      <c r="G187" s="70">
        <f t="shared" si="4"/>
        <v>7.6666666666666605E-2</v>
      </c>
    </row>
    <row r="188" spans="1:7" x14ac:dyDescent="0.3">
      <c r="A188" s="7" t="str">
        <f>Districts_Setup!$B$6</f>
        <v>Anand</v>
      </c>
      <c r="B188" s="54">
        <f>IFERROR(AVERAGE(PARAKH_By_SocialGroup!B7,PARAKH_By_SocialGroup!F7,PARAKH_By_SocialGroup!J7,PARAKH_By_SocialGroup!N7,PARAKH_By_SocialGroup!R7,PARAKH_By_SocialGroup!V7,PARAKH_By_SocialGroup!Z7,PARAKH_By_SocialGroup!AD7,PARAKH_By_SocialGroup!AH7),0)</f>
        <v>0.46888888888888886</v>
      </c>
      <c r="C188" s="54">
        <f>IFERROR(AVERAGE(PARAKH_By_SocialGroup!C7,PARAKH_By_SocialGroup!G7,PARAKH_By_SocialGroup!K7,PARAKH_By_SocialGroup!O7,PARAKH_By_SocialGroup!S7,PARAKH_By_SocialGroup!W7,PARAKH_By_SocialGroup!AA7,PARAKH_By_SocialGroup!AE7,PARAKH_By_SocialGroup!AI7),0)</f>
        <v>0.44333333333333336</v>
      </c>
      <c r="D188" s="54">
        <f>IFERROR(AVERAGE(PARAKH_By_SocialGroup!D7,PARAKH_By_SocialGroup!H7,PARAKH_By_SocialGroup!L7,PARAKH_By_SocialGroup!P7,PARAKH_By_SocialGroup!T7,PARAKH_By_SocialGroup!X7,PARAKH_By_SocialGroup!AB7,PARAKH_By_SocialGroup!AF7,PARAKH_By_SocialGroup!AJ7),0)</f>
        <v>0.43222222222222223</v>
      </c>
      <c r="E188" s="54">
        <f>IFERROR(AVERAGE(PARAKH_By_SocialGroup!E7,PARAKH_By_SocialGroup!I7,PARAKH_By_SocialGroup!M7,PARAKH_By_SocialGroup!Q7,PARAKH_By_SocialGroup!U7,PARAKH_By_SocialGroup!Y7,PARAKH_By_SocialGroup!AC7,PARAKH_By_SocialGroup!AG7,PARAKH_By_SocialGroup!AK7),0)</f>
        <v>0.4744444444444445</v>
      </c>
      <c r="F188" s="70">
        <f t="shared" si="3"/>
        <v>5.5555555555556468E-3</v>
      </c>
      <c r="G188" s="70">
        <f t="shared" si="4"/>
        <v>3.1111111111111145E-2</v>
      </c>
    </row>
    <row r="189" spans="1:7" x14ac:dyDescent="0.3">
      <c r="A189" s="7" t="str">
        <f>Districts_Setup!$B$7</f>
        <v>Aravalli</v>
      </c>
      <c r="B189" s="54">
        <f>IFERROR(AVERAGE(PARAKH_By_SocialGroup!B8,PARAKH_By_SocialGroup!F8,PARAKH_By_SocialGroup!J8,PARAKH_By_SocialGroup!N8,PARAKH_By_SocialGroup!R8,PARAKH_By_SocialGroup!V8,PARAKH_By_SocialGroup!Z8,PARAKH_By_SocialGroup!AD8,PARAKH_By_SocialGroup!AH8),0)</f>
        <v>0.40666666666666657</v>
      </c>
      <c r="C189" s="54">
        <f>IFERROR(AVERAGE(PARAKH_By_SocialGroup!C8,PARAKH_By_SocialGroup!G8,PARAKH_By_SocialGroup!K8,PARAKH_By_SocialGroup!O8,PARAKH_By_SocialGroup!S8,PARAKH_By_SocialGroup!W8,PARAKH_By_SocialGroup!AA8,PARAKH_By_SocialGroup!AE8,PARAKH_By_SocialGroup!AI8),0)</f>
        <v>0.41000000000000009</v>
      </c>
      <c r="D189" s="54">
        <f>IFERROR(AVERAGE(PARAKH_By_SocialGroup!D8,PARAKH_By_SocialGroup!H8,PARAKH_By_SocialGroup!L8,PARAKH_By_SocialGroup!P8,PARAKH_By_SocialGroup!T8,PARAKH_By_SocialGroup!X8,PARAKH_By_SocialGroup!AB8,PARAKH_By_SocialGroup!AF8,PARAKH_By_SocialGroup!AJ8),0)</f>
        <v>0.4022222222222222</v>
      </c>
      <c r="E189" s="54">
        <f>IFERROR(AVERAGE(PARAKH_By_SocialGroup!E8,PARAKH_By_SocialGroup!I8,PARAKH_By_SocialGroup!M8,PARAKH_By_SocialGroup!Q8,PARAKH_By_SocialGroup!U8,PARAKH_By_SocialGroup!Y8,PARAKH_By_SocialGroup!AC8,PARAKH_By_SocialGroup!AG8,PARAKH_By_SocialGroup!AK8),0)</f>
        <v>0.48777777777777775</v>
      </c>
      <c r="F189" s="70">
        <f t="shared" si="3"/>
        <v>8.1111111111111189E-2</v>
      </c>
      <c r="G189" s="70">
        <f t="shared" si="4"/>
        <v>7.7777777777777668E-2</v>
      </c>
    </row>
    <row r="190" spans="1:7" x14ac:dyDescent="0.3">
      <c r="A190" s="7" t="str">
        <f>Districts_Setup!$B$8</f>
        <v>Banaskantha</v>
      </c>
      <c r="B190" s="54">
        <f>IFERROR(AVERAGE(PARAKH_By_SocialGroup!B9,PARAKH_By_SocialGroup!F9,PARAKH_By_SocialGroup!J9,PARAKH_By_SocialGroup!N9,PARAKH_By_SocialGroup!R9,PARAKH_By_SocialGroup!V9,PARAKH_By_SocialGroup!Z9,PARAKH_By_SocialGroup!AD9,PARAKH_By_SocialGroup!AH9),0)</f>
        <v>0.44333333333333336</v>
      </c>
      <c r="C190" s="54">
        <f>IFERROR(AVERAGE(PARAKH_By_SocialGroup!C9,PARAKH_By_SocialGroup!G9,PARAKH_By_SocialGroup!K9,PARAKH_By_SocialGroup!O9,PARAKH_By_SocialGroup!S9,PARAKH_By_SocialGroup!W9,PARAKH_By_SocialGroup!AA9,PARAKH_By_SocialGroup!AE9,PARAKH_By_SocialGroup!AI9),0)</f>
        <v>0.35222222222222221</v>
      </c>
      <c r="D190" s="54">
        <f>IFERROR(AVERAGE(PARAKH_By_SocialGroup!D9,PARAKH_By_SocialGroup!H9,PARAKH_By_SocialGroup!L9,PARAKH_By_SocialGroup!P9,PARAKH_By_SocialGroup!T9,PARAKH_By_SocialGroup!X9,PARAKH_By_SocialGroup!AB9,PARAKH_By_SocialGroup!AF9,PARAKH_By_SocialGroup!AJ9),0)</f>
        <v>0.44555555555555554</v>
      </c>
      <c r="E190" s="54">
        <f>IFERROR(AVERAGE(PARAKH_By_SocialGroup!E9,PARAKH_By_SocialGroup!I9,PARAKH_By_SocialGroup!M9,PARAKH_By_SocialGroup!Q9,PARAKH_By_SocialGroup!U9,PARAKH_By_SocialGroup!Y9,PARAKH_By_SocialGroup!AC9,PARAKH_By_SocialGroup!AG9,PARAKH_By_SocialGroup!AK9),0)</f>
        <v>0.49111111111111111</v>
      </c>
      <c r="F190" s="70">
        <f t="shared" si="3"/>
        <v>4.7777777777777752E-2</v>
      </c>
      <c r="G190" s="70">
        <f t="shared" si="4"/>
        <v>0.1388888888888889</v>
      </c>
    </row>
    <row r="191" spans="1:7" x14ac:dyDescent="0.3">
      <c r="A191" s="7" t="str">
        <f>Districts_Setup!$B$9</f>
        <v>Bharuch</v>
      </c>
      <c r="B191" s="54">
        <f>IFERROR(AVERAGE(PARAKH_By_SocialGroup!B10,PARAKH_By_SocialGroup!F10,PARAKH_By_SocialGroup!J10,PARAKH_By_SocialGroup!N10,PARAKH_By_SocialGroup!R10,PARAKH_By_SocialGroup!V10,PARAKH_By_SocialGroup!Z10,PARAKH_By_SocialGroup!AD10,PARAKH_By_SocialGroup!AH10),0)</f>
        <v>0.47333333333333333</v>
      </c>
      <c r="C191" s="54">
        <f>IFERROR(AVERAGE(PARAKH_By_SocialGroup!C10,PARAKH_By_SocialGroup!G10,PARAKH_By_SocialGroup!K10,PARAKH_By_SocialGroup!O10,PARAKH_By_SocialGroup!S10,PARAKH_By_SocialGroup!W10,PARAKH_By_SocialGroup!AA10,PARAKH_By_SocialGroup!AE10,PARAKH_By_SocialGroup!AI10),0)</f>
        <v>0.39444444444444449</v>
      </c>
      <c r="D191" s="54">
        <f>IFERROR(AVERAGE(PARAKH_By_SocialGroup!D10,PARAKH_By_SocialGroup!H10,PARAKH_By_SocialGroup!L10,PARAKH_By_SocialGroup!P10,PARAKH_By_SocialGroup!T10,PARAKH_By_SocialGroup!X10,PARAKH_By_SocialGroup!AB10,PARAKH_By_SocialGroup!AF10,PARAKH_By_SocialGroup!AJ10),0)</f>
        <v>0.4588888888888889</v>
      </c>
      <c r="E191" s="54">
        <f>IFERROR(AVERAGE(PARAKH_By_SocialGroup!E10,PARAKH_By_SocialGroup!I10,PARAKH_By_SocialGroup!M10,PARAKH_By_SocialGroup!Q10,PARAKH_By_SocialGroup!U10,PARAKH_By_SocialGroup!Y10,PARAKH_By_SocialGroup!AC10,PARAKH_By_SocialGroup!AG10,PARAKH_By_SocialGroup!AK10),0)</f>
        <v>0.46888888888888886</v>
      </c>
      <c r="F191" s="70">
        <f t="shared" si="3"/>
        <v>-4.4444444444444731E-3</v>
      </c>
      <c r="G191" s="70">
        <f t="shared" si="4"/>
        <v>7.4444444444444369E-2</v>
      </c>
    </row>
    <row r="192" spans="1:7" x14ac:dyDescent="0.3">
      <c r="A192" s="7" t="str">
        <f>Districts_Setup!$B$10</f>
        <v>Bhavnagar</v>
      </c>
      <c r="B192" s="54">
        <f>IFERROR(AVERAGE(PARAKH_By_SocialGroup!B11,PARAKH_By_SocialGroup!F11,PARAKH_By_SocialGroup!J11,PARAKH_By_SocialGroup!N11,PARAKH_By_SocialGroup!R11,PARAKH_By_SocialGroup!V11,PARAKH_By_SocialGroup!Z11,PARAKH_By_SocialGroup!AD11,PARAKH_By_SocialGroup!AH11),0)</f>
        <v>0.47444444444444439</v>
      </c>
      <c r="C192" s="54">
        <f>IFERROR(AVERAGE(PARAKH_By_SocialGroup!C11,PARAKH_By_SocialGroup!G11,PARAKH_By_SocialGroup!K11,PARAKH_By_SocialGroup!O11,PARAKH_By_SocialGroup!S11,PARAKH_By_SocialGroup!W11,PARAKH_By_SocialGroup!AA11,PARAKH_By_SocialGroup!AE11,PARAKH_By_SocialGroup!AI11),0)</f>
        <v>0.37777777777777777</v>
      </c>
      <c r="D192" s="54">
        <f>IFERROR(AVERAGE(PARAKH_By_SocialGroup!D11,PARAKH_By_SocialGroup!H11,PARAKH_By_SocialGroup!L11,PARAKH_By_SocialGroup!P11,PARAKH_By_SocialGroup!T11,PARAKH_By_SocialGroup!X11,PARAKH_By_SocialGroup!AB11,PARAKH_By_SocialGroup!AF11,PARAKH_By_SocialGroup!AJ11),0)</f>
        <v>0.45555555555555549</v>
      </c>
      <c r="E192" s="54">
        <f>IFERROR(AVERAGE(PARAKH_By_SocialGroup!E11,PARAKH_By_SocialGroup!I11,PARAKH_By_SocialGroup!M11,PARAKH_By_SocialGroup!Q11,PARAKH_By_SocialGroup!U11,PARAKH_By_SocialGroup!Y11,PARAKH_By_SocialGroup!AC11,PARAKH_By_SocialGroup!AG11,PARAKH_By_SocialGroup!AK11),0)</f>
        <v>0.53111111111111109</v>
      </c>
      <c r="F192" s="70">
        <f t="shared" si="3"/>
        <v>5.6666666666666698E-2</v>
      </c>
      <c r="G192" s="70">
        <f t="shared" si="4"/>
        <v>0.15333333333333332</v>
      </c>
    </row>
    <row r="193" spans="1:7" x14ac:dyDescent="0.3">
      <c r="A193" s="7" t="str">
        <f>Districts_Setup!$B$11</f>
        <v>Botad</v>
      </c>
      <c r="B193" s="54">
        <f>IFERROR(AVERAGE(PARAKH_By_SocialGroup!B12,PARAKH_By_SocialGroup!F12,PARAKH_By_SocialGroup!J12,PARAKH_By_SocialGroup!N12,PARAKH_By_SocialGroup!R12,PARAKH_By_SocialGroup!V12,PARAKH_By_SocialGroup!Z12,PARAKH_By_SocialGroup!AD12,PARAKH_By_SocialGroup!AH12),0)</f>
        <v>0.44222222222222224</v>
      </c>
      <c r="C193" s="54">
        <f>IFERROR(AVERAGE(PARAKH_By_SocialGroup!C12,PARAKH_By_SocialGroup!G12,PARAKH_By_SocialGroup!K12,PARAKH_By_SocialGroup!O12,PARAKH_By_SocialGroup!S12,PARAKH_By_SocialGroup!W12,PARAKH_By_SocialGroup!AA12,PARAKH_By_SocialGroup!AE12,PARAKH_By_SocialGroup!AI12),0)</f>
        <v>0.41444444444444445</v>
      </c>
      <c r="D193" s="54">
        <f>IFERROR(AVERAGE(PARAKH_By_SocialGroup!D12,PARAKH_By_SocialGroup!H12,PARAKH_By_SocialGroup!L12,PARAKH_By_SocialGroup!P12,PARAKH_By_SocialGroup!T12,PARAKH_By_SocialGroup!X12,PARAKH_By_SocialGroup!AB12,PARAKH_By_SocialGroup!AF12,PARAKH_By_SocialGroup!AJ12),0)</f>
        <v>0.43444444444444441</v>
      </c>
      <c r="E193" s="54">
        <f>IFERROR(AVERAGE(PARAKH_By_SocialGroup!E12,PARAKH_By_SocialGroup!I12,PARAKH_By_SocialGroup!M12,PARAKH_By_SocialGroup!Q12,PARAKH_By_SocialGroup!U12,PARAKH_By_SocialGroup!Y12,PARAKH_By_SocialGroup!AC12,PARAKH_By_SocialGroup!AG12,PARAKH_By_SocialGroup!AK12),0)</f>
        <v>0.48333333333333339</v>
      </c>
      <c r="F193" s="70">
        <f t="shared" si="3"/>
        <v>4.1111111111111154E-2</v>
      </c>
      <c r="G193" s="70">
        <f t="shared" si="4"/>
        <v>6.8888888888888944E-2</v>
      </c>
    </row>
    <row r="194" spans="1:7" x14ac:dyDescent="0.3">
      <c r="A194" s="7" t="str">
        <f>Districts_Setup!$B$12</f>
        <v>Chhota Udepur</v>
      </c>
      <c r="B194" s="54">
        <f>IFERROR(AVERAGE(PARAKH_By_Management!B13,PARAKH_By_Management!F13,PARAKH_By_Management!J13,PARAKH_By_Management!N13,PARAKH_By_Management!R13,PARAKH_By_Management!V13,PARAKH_By_Management!Z13,PARAKH_By_Management!AD13,PARAKH_By_Management!AH13),0)</f>
        <v>0.42111111111111116</v>
      </c>
      <c r="C194" s="54">
        <f>IFERROR(AVERAGE(PARAKH_By_Management!C13,PARAKH_By_Management!G13,PARAKH_By_Management!K13,PARAKH_By_Management!O13,PARAKH_By_Management!S13,PARAKH_By_Management!W13,PARAKH_By_Management!AA13,PARAKH_By_Management!AE13,PARAKH_By_Management!AI13),0)</f>
        <v>0.31444444444444442</v>
      </c>
      <c r="D194" s="54">
        <f>IFERROR(AVERAGE(PARAKH_By_Management!D13,PARAKH_By_Management!H13,PARAKH_By_Management!L13,PARAKH_By_Management!P13,PARAKH_By_Management!T13,PARAKH_By_Management!X13,PARAKH_By_Management!AB13,PARAKH_By_Management!AF13,PARAKH_By_Management!AJ13),0)</f>
        <v>0.47142857142857142</v>
      </c>
      <c r="E194" s="54">
        <f>IFERROR(AVERAGE(PARAKH_By_Management!E13,PARAKH_By_Management!I13,PARAKH_By_Management!M13,PARAKH_By_Management!Q13,PARAKH_By_Management!U13,PARAKH_By_Management!Y13,PARAKH_By_Management!AC13,PARAKH_By_Management!AG13,PARAKH_By_Management!AK13),0)</f>
        <v>0.40444444444444444</v>
      </c>
      <c r="F194" s="70">
        <f t="shared" si="3"/>
        <v>-1.6666666666666718E-2</v>
      </c>
      <c r="G194" s="70">
        <f t="shared" si="4"/>
        <v>9.0000000000000024E-2</v>
      </c>
    </row>
    <row r="195" spans="1:7" x14ac:dyDescent="0.3">
      <c r="A195" s="7" t="str">
        <f>Districts_Setup!$B$13</f>
        <v>Dahod</v>
      </c>
      <c r="B195" s="54">
        <f>IFERROR(AVERAGE(PARAKH_By_SocialGroup!B14,PARAKH_By_SocialGroup!F14,PARAKH_By_SocialGroup!J14,PARAKH_By_SocialGroup!N14,PARAKH_By_SocialGroup!R14,PARAKH_By_SocialGroup!V14,PARAKH_By_SocialGroup!Z14,PARAKH_By_SocialGroup!AD14,PARAKH_By_SocialGroup!AH14),0)</f>
        <v>0.40666666666666668</v>
      </c>
      <c r="C195" s="54">
        <f>IFERROR(AVERAGE(PARAKH_By_SocialGroup!C14,PARAKH_By_SocialGroup!G14,PARAKH_By_SocialGroup!K14,PARAKH_By_SocialGroup!O14,PARAKH_By_SocialGroup!S14,PARAKH_By_SocialGroup!W14,PARAKH_By_SocialGroup!AA14,PARAKH_By_SocialGroup!AE14,PARAKH_By_SocialGroup!AI14),0)</f>
        <v>0.40888888888888891</v>
      </c>
      <c r="D195" s="54">
        <f>IFERROR(AVERAGE(PARAKH_By_SocialGroup!D14,PARAKH_By_SocialGroup!H14,PARAKH_By_SocialGroup!L14,PARAKH_By_SocialGroup!P14,PARAKH_By_SocialGroup!T14,PARAKH_By_SocialGroup!X14,PARAKH_By_SocialGroup!AB14,PARAKH_By_SocialGroup!AF14,PARAKH_By_SocialGroup!AJ14),0)</f>
        <v>0.43555555555555558</v>
      </c>
      <c r="E195" s="54">
        <f>IFERROR(AVERAGE(PARAKH_By_SocialGroup!E14,PARAKH_By_SocialGroup!I14,PARAKH_By_SocialGroup!M14,PARAKH_By_SocialGroup!Q14,PARAKH_By_SocialGroup!U14,PARAKH_By_SocialGroup!Y14,PARAKH_By_SocialGroup!AC14,PARAKH_By_SocialGroup!AG14,PARAKH_By_SocialGroup!AK14),0)</f>
        <v>0.54888888888888898</v>
      </c>
      <c r="F195" s="70">
        <f t="shared" si="3"/>
        <v>0.14222222222222231</v>
      </c>
      <c r="G195" s="70">
        <f t="shared" si="4"/>
        <v>0.14000000000000007</v>
      </c>
    </row>
    <row r="196" spans="1:7" x14ac:dyDescent="0.3">
      <c r="A196" s="7" t="str">
        <f>Districts_Setup!$B$14</f>
        <v>Dang</v>
      </c>
      <c r="B196" s="54">
        <f>IFERROR(AVERAGE(PARAKH_By_SocialGroup!B15,PARAKH_By_SocialGroup!F15,PARAKH_By_SocialGroup!J15,PARAKH_By_SocialGroup!N15,PARAKH_By_SocialGroup!R15,PARAKH_By_SocialGroup!V15,PARAKH_By_SocialGroup!Z15,PARAKH_By_SocialGroup!AD15,PARAKH_By_SocialGroup!AH15),0)</f>
        <v>0.38</v>
      </c>
      <c r="C196" s="54">
        <f>IFERROR(AVERAGE(PARAKH_By_SocialGroup!C15,PARAKH_By_SocialGroup!G15,PARAKH_By_SocialGroup!K15,PARAKH_By_SocialGroup!O15,PARAKH_By_SocialGroup!S15,PARAKH_By_SocialGroup!W15,PARAKH_By_SocialGroup!AA15,PARAKH_By_SocialGroup!AE15,PARAKH_By_SocialGroup!AI15),0)</f>
        <v>0.44000000000000006</v>
      </c>
      <c r="D196" s="54">
        <f>IFERROR(AVERAGE(PARAKH_By_SocialGroup!D15,PARAKH_By_SocialGroup!H15,PARAKH_By_SocialGroup!L15,PARAKH_By_SocialGroup!P15,PARAKH_By_SocialGroup!T15,PARAKH_By_SocialGroup!X15,PARAKH_By_SocialGroup!AB15,PARAKH_By_SocialGroup!AF15,PARAKH_By_SocialGroup!AJ15),0)</f>
        <v>0.4088888888888888</v>
      </c>
      <c r="E196" s="54">
        <f>IFERROR(AVERAGE(PARAKH_By_SocialGroup!E15,PARAKH_By_SocialGroup!I15,PARAKH_By_SocialGroup!M15,PARAKH_By_SocialGroup!Q15,PARAKH_By_SocialGroup!U15,PARAKH_By_SocialGroup!Y15,PARAKH_By_SocialGroup!AC15,PARAKH_By_SocialGroup!AG15,PARAKH_By_SocialGroup!AK15),0)</f>
        <v>0.37555555555555553</v>
      </c>
      <c r="F196" s="70">
        <f t="shared" si="3"/>
        <v>-4.4444444444444731E-3</v>
      </c>
      <c r="G196" s="70">
        <f t="shared" si="4"/>
        <v>-6.4444444444444526E-2</v>
      </c>
    </row>
    <row r="197" spans="1:7" x14ac:dyDescent="0.3">
      <c r="A197" s="7" t="str">
        <f>Districts_Setup!$B$15</f>
        <v>Devbhoomi Dwarka</v>
      </c>
      <c r="B197" s="54">
        <f>IFERROR(AVERAGE(PARAKH_By_SocialGroup!B16,PARAKH_By_SocialGroup!F16,PARAKH_By_SocialGroup!J16,PARAKH_By_SocialGroup!N16,PARAKH_By_SocialGroup!R16,PARAKH_By_SocialGroup!V16,PARAKH_By_SocialGroup!Z16,PARAKH_By_SocialGroup!AD16,PARAKH_By_SocialGroup!AH16),0)</f>
        <v>0.45222222222222214</v>
      </c>
      <c r="C197" s="54">
        <f>IFERROR(AVERAGE(PARAKH_By_SocialGroup!C16,PARAKH_By_SocialGroup!G16,PARAKH_By_SocialGroup!K16,PARAKH_By_SocialGroup!O16,PARAKH_By_SocialGroup!S16,PARAKH_By_SocialGroup!W16,PARAKH_By_SocialGroup!AA16,PARAKH_By_SocialGroup!AE16,PARAKH_By_SocialGroup!AI16),0)</f>
        <v>0.41222222222222216</v>
      </c>
      <c r="D197" s="54">
        <f>IFERROR(AVERAGE(PARAKH_By_SocialGroup!D16,PARAKH_By_SocialGroup!H16,PARAKH_By_SocialGroup!L16,PARAKH_By_SocialGroup!P16,PARAKH_By_SocialGroup!T16,PARAKH_By_SocialGroup!X16,PARAKH_By_SocialGroup!AB16,PARAKH_By_SocialGroup!AF16,PARAKH_By_SocialGroup!AJ16),0)</f>
        <v>0.47555555555555556</v>
      </c>
      <c r="E197" s="54">
        <f>IFERROR(AVERAGE(PARAKH_By_SocialGroup!E16,PARAKH_By_SocialGroup!I16,PARAKH_By_SocialGroup!M16,PARAKH_By_SocialGroup!Q16,PARAKH_By_SocialGroup!U16,PARAKH_By_SocialGroup!Y16,PARAKH_By_SocialGroup!AC16,PARAKH_By_SocialGroup!AG16,PARAKH_By_SocialGroup!AK16),0)</f>
        <v>0.48000000000000004</v>
      </c>
      <c r="F197" s="70">
        <f t="shared" si="3"/>
        <v>2.7777777777777901E-2</v>
      </c>
      <c r="G197" s="70">
        <f t="shared" si="4"/>
        <v>6.7777777777777881E-2</v>
      </c>
    </row>
    <row r="198" spans="1:7" x14ac:dyDescent="0.3">
      <c r="A198" s="7" t="str">
        <f>Districts_Setup!$B$16</f>
        <v>Gandhinagar</v>
      </c>
      <c r="B198" s="54">
        <f>IFERROR(AVERAGE(PARAKH_By_SocialGroup!B17,PARAKH_By_SocialGroup!F17,PARAKH_By_SocialGroup!J17,PARAKH_By_SocialGroup!N17,PARAKH_By_SocialGroup!R17,PARAKH_By_SocialGroup!V17,PARAKH_By_SocialGroup!Z17,PARAKH_By_SocialGroup!AD17,PARAKH_By_SocialGroup!AH17),0)</f>
        <v>0.50444444444444447</v>
      </c>
      <c r="C198" s="54">
        <f>IFERROR(AVERAGE(PARAKH_By_SocialGroup!C17,PARAKH_By_SocialGroup!G17,PARAKH_By_SocialGroup!K17,PARAKH_By_SocialGroup!O17,PARAKH_By_SocialGroup!S17,PARAKH_By_SocialGroup!W17,PARAKH_By_SocialGroup!AA17,PARAKH_By_SocialGroup!AE17,PARAKH_By_SocialGroup!AI17),0)</f>
        <v>0.46111111111111114</v>
      </c>
      <c r="D198" s="54">
        <f>IFERROR(AVERAGE(PARAKH_By_SocialGroup!D17,PARAKH_By_SocialGroup!H17,PARAKH_By_SocialGroup!L17,PARAKH_By_SocialGroup!P17,PARAKH_By_SocialGroup!T17,PARAKH_By_SocialGroup!X17,PARAKH_By_SocialGroup!AB17,PARAKH_By_SocialGroup!AF17,PARAKH_By_SocialGroup!AJ17),0)</f>
        <v>0.46222222222222226</v>
      </c>
      <c r="E198" s="54">
        <f>IFERROR(AVERAGE(PARAKH_By_SocialGroup!E17,PARAKH_By_SocialGroup!I17,PARAKH_By_SocialGroup!M17,PARAKH_By_SocialGroup!Q17,PARAKH_By_SocialGroup!U17,PARAKH_By_SocialGroup!Y17,PARAKH_By_SocialGroup!AC17,PARAKH_By_SocialGroup!AG17,PARAKH_By_SocialGroup!AK17),0)</f>
        <v>0.56444444444444442</v>
      </c>
      <c r="F198" s="70">
        <f t="shared" si="3"/>
        <v>5.9999999999999942E-2</v>
      </c>
      <c r="G198" s="70">
        <f t="shared" si="4"/>
        <v>0.10333333333333328</v>
      </c>
    </row>
    <row r="199" spans="1:7" x14ac:dyDescent="0.3">
      <c r="A199" s="7" t="str">
        <f>Districts_Setup!$B$17</f>
        <v>Gir Somnath</v>
      </c>
      <c r="B199" s="54">
        <f>IFERROR(AVERAGE(PARAKH_By_SocialGroup!B18,PARAKH_By_SocialGroup!F18,PARAKH_By_SocialGroup!J18,PARAKH_By_SocialGroup!N18,PARAKH_By_SocialGroup!R18,PARAKH_By_SocialGroup!V18,PARAKH_By_SocialGroup!Z18,PARAKH_By_SocialGroup!AD18,PARAKH_By_SocialGroup!AH18),0)</f>
        <v>0.47111111111111115</v>
      </c>
      <c r="C199" s="54">
        <f>IFERROR(AVERAGE(PARAKH_By_SocialGroup!C18,PARAKH_By_SocialGroup!G18,PARAKH_By_SocialGroup!K18,PARAKH_By_SocialGroup!O18,PARAKH_By_SocialGroup!S18,PARAKH_By_SocialGroup!W18,PARAKH_By_SocialGroup!AA18,PARAKH_By_SocialGroup!AE18,PARAKH_By_SocialGroup!AI18),0)</f>
        <v>0.38555555555555554</v>
      </c>
      <c r="D199" s="54">
        <f>IFERROR(AVERAGE(PARAKH_By_SocialGroup!D18,PARAKH_By_SocialGroup!H18,PARAKH_By_SocialGroup!L18,PARAKH_By_SocialGroup!P18,PARAKH_By_SocialGroup!T18,PARAKH_By_SocialGroup!X18,PARAKH_By_SocialGroup!AB18,PARAKH_By_SocialGroup!AF18,PARAKH_By_SocialGroup!AJ18),0)</f>
        <v>0.39555555555555549</v>
      </c>
      <c r="E199" s="54">
        <f>IFERROR(AVERAGE(PARAKH_By_SocialGroup!E18,PARAKH_By_SocialGroup!I18,PARAKH_By_SocialGroup!M18,PARAKH_By_SocialGroup!Q18,PARAKH_By_SocialGroup!U18,PARAKH_By_SocialGroup!Y18,PARAKH_By_SocialGroup!AC18,PARAKH_By_SocialGroup!AG18,PARAKH_By_SocialGroup!AK18),0)</f>
        <v>0.45222222222222214</v>
      </c>
      <c r="F199" s="70">
        <f t="shared" si="3"/>
        <v>-1.8888888888889011E-2</v>
      </c>
      <c r="G199" s="70">
        <f t="shared" si="4"/>
        <v>6.6666666666666596E-2</v>
      </c>
    </row>
    <row r="200" spans="1:7" x14ac:dyDescent="0.3">
      <c r="A200" s="7" t="str">
        <f>Districts_Setup!$B$18</f>
        <v>Jamnagar</v>
      </c>
      <c r="B200" s="54">
        <f>IFERROR(AVERAGE(PARAKH_By_SocialGroup!B19,PARAKH_By_SocialGroup!F19,PARAKH_By_SocialGroup!J19,PARAKH_By_SocialGroup!N19,PARAKH_By_SocialGroup!R19,PARAKH_By_SocialGroup!V19,PARAKH_By_SocialGroup!Z19,PARAKH_By_SocialGroup!AD19,PARAKH_By_SocialGroup!AH19),0)</f>
        <v>0.42333333333333334</v>
      </c>
      <c r="C200" s="54">
        <f>IFERROR(AVERAGE(PARAKH_By_SocialGroup!C19,PARAKH_By_SocialGroup!G19,PARAKH_By_SocialGroup!K19,PARAKH_By_SocialGroup!O19,PARAKH_By_SocialGroup!S19,PARAKH_By_SocialGroup!W19,PARAKH_By_SocialGroup!AA19,PARAKH_By_SocialGroup!AE19,PARAKH_By_SocialGroup!AI19),0)</f>
        <v>0.40555555555555561</v>
      </c>
      <c r="D200" s="54">
        <f>IFERROR(AVERAGE(PARAKH_By_SocialGroup!D19,PARAKH_By_SocialGroup!H19,PARAKH_By_SocialGroup!L19,PARAKH_By_SocialGroup!P19,PARAKH_By_SocialGroup!T19,PARAKH_By_SocialGroup!X19,PARAKH_By_SocialGroup!AB19,PARAKH_By_SocialGroup!AF19,PARAKH_By_SocialGroup!AJ19),0)</f>
        <v>0.41333333333333333</v>
      </c>
      <c r="E200" s="54">
        <f>IFERROR(AVERAGE(PARAKH_By_SocialGroup!E19,PARAKH_By_SocialGroup!I19,PARAKH_By_SocialGroup!M19,PARAKH_By_SocialGroup!Q19,PARAKH_By_SocialGroup!U19,PARAKH_By_SocialGroup!Y19,PARAKH_By_SocialGroup!AC19,PARAKH_By_SocialGroup!AG19,PARAKH_By_SocialGroup!AK19),0)</f>
        <v>0.49444444444444446</v>
      </c>
      <c r="F200" s="70">
        <f t="shared" si="3"/>
        <v>7.1111111111111125E-2</v>
      </c>
      <c r="G200" s="70">
        <f t="shared" si="4"/>
        <v>8.8888888888888851E-2</v>
      </c>
    </row>
    <row r="201" spans="1:7" x14ac:dyDescent="0.3">
      <c r="A201" s="7" t="str">
        <f>Districts_Setup!$B$19</f>
        <v>Junagadh</v>
      </c>
      <c r="B201" s="54">
        <f>IFERROR(AVERAGE(PARAKH_By_SocialGroup!B20,PARAKH_By_SocialGroup!F20,PARAKH_By_SocialGroup!J20,PARAKH_By_SocialGroup!N20,PARAKH_By_SocialGroup!R20,PARAKH_By_SocialGroup!V20,PARAKH_By_SocialGroup!Z20,PARAKH_By_SocialGroup!AD20,PARAKH_By_SocialGroup!AH20),0)</f>
        <v>0.44111111111111112</v>
      </c>
      <c r="C201" s="54">
        <f>IFERROR(AVERAGE(PARAKH_By_SocialGroup!C20,PARAKH_By_SocialGroup!G20,PARAKH_By_SocialGroup!K20,PARAKH_By_SocialGroup!O20,PARAKH_By_SocialGroup!S20,PARAKH_By_SocialGroup!W20,PARAKH_By_SocialGroup!AA20,PARAKH_By_SocialGroup!AE20,PARAKH_By_SocialGroup!AI20),0)</f>
        <v>0.42333333333333334</v>
      </c>
      <c r="D201" s="54">
        <f>IFERROR(AVERAGE(PARAKH_By_SocialGroup!D20,PARAKH_By_SocialGroup!H20,PARAKH_By_SocialGroup!L20,PARAKH_By_SocialGroup!P20,PARAKH_By_SocialGroup!T20,PARAKH_By_SocialGroup!X20,PARAKH_By_SocialGroup!AB20,PARAKH_By_SocialGroup!AF20,PARAKH_By_SocialGroup!AJ20),0)</f>
        <v>0.45555555555555549</v>
      </c>
      <c r="E201" s="54">
        <f>IFERROR(AVERAGE(PARAKH_By_SocialGroup!E20,PARAKH_By_SocialGroup!I20,PARAKH_By_SocialGroup!M20,PARAKH_By_SocialGroup!Q20,PARAKH_By_SocialGroup!U20,PARAKH_By_SocialGroup!Y20,PARAKH_By_SocialGroup!AC20,PARAKH_By_SocialGroup!AG20,PARAKH_By_SocialGroup!AK20),0)</f>
        <v>0.51111111111111118</v>
      </c>
      <c r="F201" s="70">
        <f t="shared" si="3"/>
        <v>7.0000000000000062E-2</v>
      </c>
      <c r="G201" s="70">
        <f t="shared" si="4"/>
        <v>8.7777777777777843E-2</v>
      </c>
    </row>
    <row r="202" spans="1:7" x14ac:dyDescent="0.3">
      <c r="A202" s="7" t="str">
        <f>Districts_Setup!$B$20</f>
        <v>Kutch</v>
      </c>
      <c r="B202" s="54">
        <f>IFERROR(AVERAGE(PARAKH_By_SocialGroup!B21,PARAKH_By_SocialGroup!F21,PARAKH_By_SocialGroup!J21,PARAKH_By_SocialGroup!N21,PARAKH_By_SocialGroup!R21,PARAKH_By_SocialGroup!V21,PARAKH_By_SocialGroup!Z21,PARAKH_By_SocialGroup!AD21,PARAKH_By_SocialGroup!AH21),0)</f>
        <v>0.43444444444444447</v>
      </c>
      <c r="C202" s="54">
        <f>IFERROR(AVERAGE(PARAKH_By_SocialGroup!C21,PARAKH_By_SocialGroup!G21,PARAKH_By_SocialGroup!K21,PARAKH_By_SocialGroup!O21,PARAKH_By_SocialGroup!S21,PARAKH_By_SocialGroup!W21,PARAKH_By_SocialGroup!AA21,PARAKH_By_SocialGroup!AE21,PARAKH_By_SocialGroup!AI21),0)</f>
        <v>0.40888888888888891</v>
      </c>
      <c r="D202" s="54">
        <f>IFERROR(AVERAGE(PARAKH_By_SocialGroup!D21,PARAKH_By_SocialGroup!H21,PARAKH_By_SocialGroup!L21,PARAKH_By_SocialGroup!P21,PARAKH_By_SocialGroup!T21,PARAKH_By_SocialGroup!X21,PARAKH_By_SocialGroup!AB21,PARAKH_By_SocialGroup!AF21,PARAKH_By_SocialGroup!AJ21),0)</f>
        <v>0.41333333333333333</v>
      </c>
      <c r="E202" s="54">
        <f>IFERROR(AVERAGE(PARAKH_By_SocialGroup!E21,PARAKH_By_SocialGroup!I21,PARAKH_By_SocialGroup!M21,PARAKH_By_SocialGroup!Q21,PARAKH_By_SocialGroup!U21,PARAKH_By_SocialGroup!Y21,PARAKH_By_SocialGroup!AC21,PARAKH_By_SocialGroup!AG21,PARAKH_By_SocialGroup!AK21),0)</f>
        <v>0.47777777777777775</v>
      </c>
      <c r="F202" s="70">
        <f t="shared" si="3"/>
        <v>4.3333333333333279E-2</v>
      </c>
      <c r="G202" s="70">
        <f t="shared" si="4"/>
        <v>6.8888888888888833E-2</v>
      </c>
    </row>
    <row r="203" spans="1:7" x14ac:dyDescent="0.3">
      <c r="A203" s="7" t="str">
        <f>Districts_Setup!$B$21</f>
        <v>Kheda</v>
      </c>
      <c r="B203" s="54">
        <f>IFERROR(AVERAGE(PARAKH_By_SocialGroup!B22,PARAKH_By_SocialGroup!F22,PARAKH_By_SocialGroup!J22,PARAKH_By_SocialGroup!N22,PARAKH_By_SocialGroup!R22,PARAKH_By_SocialGroup!V22,PARAKH_By_SocialGroup!Z22,PARAKH_By_SocialGroup!AD22,PARAKH_By_SocialGroup!AH22),0)</f>
        <v>0.45666666666666672</v>
      </c>
      <c r="C203" s="54">
        <f>IFERROR(AVERAGE(PARAKH_By_SocialGroup!C22,PARAKH_By_SocialGroup!G22,PARAKH_By_SocialGroup!K22,PARAKH_By_SocialGroup!O22,PARAKH_By_SocialGroup!S22,PARAKH_By_SocialGroup!W22,PARAKH_By_SocialGroup!AA22,PARAKH_By_SocialGroup!AE22,PARAKH_By_SocialGroup!AI22),0)</f>
        <v>0.35444444444444445</v>
      </c>
      <c r="D203" s="54">
        <f>IFERROR(AVERAGE(PARAKH_By_SocialGroup!D22,PARAKH_By_SocialGroup!H22,PARAKH_By_SocialGroup!L22,PARAKH_By_SocialGroup!P22,PARAKH_By_SocialGroup!T22,PARAKH_By_SocialGroup!X22,PARAKH_By_SocialGroup!AB22,PARAKH_By_SocialGroup!AF22,PARAKH_By_SocialGroup!AJ22),0)</f>
        <v>0.39222222222222219</v>
      </c>
      <c r="E203" s="54">
        <f>IFERROR(AVERAGE(PARAKH_By_SocialGroup!E22,PARAKH_By_SocialGroup!I22,PARAKH_By_SocialGroup!M22,PARAKH_By_SocialGroup!Q22,PARAKH_By_SocialGroup!U22,PARAKH_By_SocialGroup!Y22,PARAKH_By_SocialGroup!AC22,PARAKH_By_SocialGroup!AG22,PARAKH_By_SocialGroup!AK22),0)</f>
        <v>0.45333333333333337</v>
      </c>
      <c r="F203" s="70">
        <f t="shared" si="3"/>
        <v>-3.3333333333333548E-3</v>
      </c>
      <c r="G203" s="70">
        <f t="shared" si="4"/>
        <v>9.8888888888888915E-2</v>
      </c>
    </row>
    <row r="204" spans="1:7" x14ac:dyDescent="0.3">
      <c r="A204" s="7" t="str">
        <f>Districts_Setup!$B$22</f>
        <v>Mahisagar</v>
      </c>
      <c r="B204" s="54">
        <f>IFERROR(AVERAGE(PARAKH_By_SocialGroup!B23,PARAKH_By_SocialGroup!F23,PARAKH_By_SocialGroup!J23,PARAKH_By_SocialGroup!N23,PARAKH_By_SocialGroup!R23,PARAKH_By_SocialGroup!V23,PARAKH_By_SocialGroup!Z23,PARAKH_By_SocialGroup!AD23,PARAKH_By_SocialGroup!AH23),0)</f>
        <v>0.44888888888888889</v>
      </c>
      <c r="C204" s="54">
        <f>IFERROR(AVERAGE(PARAKH_By_SocialGroup!C23,PARAKH_By_SocialGroup!G23,PARAKH_By_SocialGroup!K23,PARAKH_By_SocialGroup!O23,PARAKH_By_SocialGroup!S23,PARAKH_By_SocialGroup!W23,PARAKH_By_SocialGroup!AA23,PARAKH_By_SocialGroup!AE23,PARAKH_By_SocialGroup!AI23),0)</f>
        <v>0.42777777777777781</v>
      </c>
      <c r="D204" s="54">
        <f>IFERROR(AVERAGE(PARAKH_By_SocialGroup!D23,PARAKH_By_SocialGroup!H23,PARAKH_By_SocialGroup!L23,PARAKH_By_SocialGroup!P23,PARAKH_By_SocialGroup!T23,PARAKH_By_SocialGroup!X23,PARAKH_By_SocialGroup!AB23,PARAKH_By_SocialGroup!AF23,PARAKH_By_SocialGroup!AJ23),0)</f>
        <v>0.42999999999999994</v>
      </c>
      <c r="E204" s="54">
        <f>IFERROR(AVERAGE(PARAKH_By_SocialGroup!E23,PARAKH_By_SocialGroup!I23,PARAKH_By_SocialGroup!M23,PARAKH_By_SocialGroup!Q23,PARAKH_By_SocialGroup!U23,PARAKH_By_SocialGroup!Y23,PARAKH_By_SocialGroup!AC23,PARAKH_By_SocialGroup!AG23,PARAKH_By_SocialGroup!AK23),0)</f>
        <v>0.44777777777777772</v>
      </c>
      <c r="F204" s="70">
        <f t="shared" si="3"/>
        <v>-1.1111111111111738E-3</v>
      </c>
      <c r="G204" s="70">
        <f t="shared" si="4"/>
        <v>1.9999999999999907E-2</v>
      </c>
    </row>
    <row r="205" spans="1:7" x14ac:dyDescent="0.3">
      <c r="A205" s="7" t="str">
        <f>Districts_Setup!$B$23</f>
        <v>Mehsana</v>
      </c>
      <c r="B205" s="54">
        <f>IFERROR(AVERAGE(PARAKH_By_SocialGroup!B24,PARAKH_By_SocialGroup!F24,PARAKH_By_SocialGroup!J24,PARAKH_By_SocialGroup!N24,PARAKH_By_SocialGroup!R24,PARAKH_By_SocialGroup!V24,PARAKH_By_SocialGroup!Z24,PARAKH_By_SocialGroup!AD24,PARAKH_By_SocialGroup!AH24),0)</f>
        <v>0.44888888888888889</v>
      </c>
      <c r="C205" s="54">
        <f>IFERROR(AVERAGE(PARAKH_By_SocialGroup!C24,PARAKH_By_SocialGroup!G24,PARAKH_By_SocialGroup!K24,PARAKH_By_SocialGroup!O24,PARAKH_By_SocialGroup!S24,PARAKH_By_SocialGroup!W24,PARAKH_By_SocialGroup!AA24,PARAKH_By_SocialGroup!AE24,PARAKH_By_SocialGroup!AI24),0)</f>
        <v>0.41</v>
      </c>
      <c r="D205" s="54">
        <f>IFERROR(AVERAGE(PARAKH_By_SocialGroup!D24,PARAKH_By_SocialGroup!H24,PARAKH_By_SocialGroup!L24,PARAKH_By_SocialGroup!P24,PARAKH_By_SocialGroup!T24,PARAKH_By_SocialGroup!X24,PARAKH_By_SocialGroup!AB24,PARAKH_By_SocialGroup!AF24,PARAKH_By_SocialGroup!AJ24),0)</f>
        <v>0.43555555555555553</v>
      </c>
      <c r="E205" s="54">
        <f>IFERROR(AVERAGE(PARAKH_By_SocialGroup!E24,PARAKH_By_SocialGroup!I24,PARAKH_By_SocialGroup!M24,PARAKH_By_SocialGroup!Q24,PARAKH_By_SocialGroup!U24,PARAKH_By_SocialGroup!Y24,PARAKH_By_SocialGroup!AC24,PARAKH_By_SocialGroup!AG24,PARAKH_By_SocialGroup!AK24),0)</f>
        <v>0.50222222222222213</v>
      </c>
      <c r="F205" s="70">
        <f t="shared" si="3"/>
        <v>5.3333333333333233E-2</v>
      </c>
      <c r="G205" s="70">
        <f t="shared" si="4"/>
        <v>9.222222222222215E-2</v>
      </c>
    </row>
    <row r="206" spans="1:7" x14ac:dyDescent="0.3">
      <c r="A206" s="7" t="str">
        <f>Districts_Setup!$B$24</f>
        <v>Morbi</v>
      </c>
      <c r="B206" s="54">
        <f>IFERROR(AVERAGE(PARAKH_By_SocialGroup!B25,PARAKH_By_SocialGroup!F25,PARAKH_By_SocialGroup!J25,PARAKH_By_SocialGroup!N25,PARAKH_By_SocialGroup!R25,PARAKH_By_SocialGroup!V25,PARAKH_By_SocialGroup!Z25,PARAKH_By_SocialGroup!AD25,PARAKH_By_SocialGroup!AH25),0)</f>
        <v>0.43111111111111106</v>
      </c>
      <c r="C206" s="54">
        <f>IFERROR(AVERAGE(PARAKH_By_SocialGroup!C25,PARAKH_By_SocialGroup!G25,PARAKH_By_SocialGroup!K25,PARAKH_By_SocialGroup!O25,PARAKH_By_SocialGroup!S25,PARAKH_By_SocialGroup!W25,PARAKH_By_SocialGroup!AA25,PARAKH_By_SocialGroup!AE25,PARAKH_By_SocialGroup!AI25),0)</f>
        <v>0.38777777777777778</v>
      </c>
      <c r="D206" s="54">
        <f>IFERROR(AVERAGE(PARAKH_By_SocialGroup!D25,PARAKH_By_SocialGroup!H25,PARAKH_By_SocialGroup!L25,PARAKH_By_SocialGroup!P25,PARAKH_By_SocialGroup!T25,PARAKH_By_SocialGroup!X25,PARAKH_By_SocialGroup!AB25,PARAKH_By_SocialGroup!AF25,PARAKH_By_SocialGroup!AJ25),0)</f>
        <v>0.43333333333333329</v>
      </c>
      <c r="E206" s="54">
        <f>IFERROR(AVERAGE(PARAKH_By_SocialGroup!E25,PARAKH_By_SocialGroup!I25,PARAKH_By_SocialGroup!M25,PARAKH_By_SocialGroup!Q25,PARAKH_By_SocialGroup!U25,PARAKH_By_SocialGroup!Y25,PARAKH_By_SocialGroup!AC25,PARAKH_By_SocialGroup!AG25,PARAKH_By_SocialGroup!AK25),0)</f>
        <v>0.49111111111111111</v>
      </c>
      <c r="F206" s="70">
        <f t="shared" si="3"/>
        <v>6.0000000000000053E-2</v>
      </c>
      <c r="G206" s="70">
        <f t="shared" si="4"/>
        <v>0.10333333333333333</v>
      </c>
    </row>
    <row r="207" spans="1:7" x14ac:dyDescent="0.3">
      <c r="A207" s="7" t="str">
        <f>Districts_Setup!$B$25</f>
        <v>Narmada</v>
      </c>
      <c r="B207" s="54">
        <f>IFERROR(AVERAGE(PARAKH_By_SocialGroup!B26,PARAKH_By_SocialGroup!F26,PARAKH_By_SocialGroup!J26,PARAKH_By_SocialGroup!N26,PARAKH_By_SocialGroup!R26,PARAKH_By_SocialGroup!V26,PARAKH_By_SocialGroup!Z26,PARAKH_By_SocialGroup!AD26,PARAKH_By_SocialGroup!AH26),0)</f>
        <v>0.41888888888888887</v>
      </c>
      <c r="C207" s="54">
        <f>IFERROR(AVERAGE(PARAKH_By_SocialGroup!C26,PARAKH_By_SocialGroup!G26,PARAKH_By_SocialGroup!K26,PARAKH_By_SocialGroup!O26,PARAKH_By_SocialGroup!S26,PARAKH_By_SocialGroup!W26,PARAKH_By_SocialGroup!AA26,PARAKH_By_SocialGroup!AE26,PARAKH_By_SocialGroup!AI26),0)</f>
        <v>0.4211111111111111</v>
      </c>
      <c r="D207" s="54">
        <f>IFERROR(AVERAGE(PARAKH_By_SocialGroup!D26,PARAKH_By_SocialGroup!H26,PARAKH_By_SocialGroup!L26,PARAKH_By_SocialGroup!P26,PARAKH_By_SocialGroup!T26,PARAKH_By_SocialGroup!X26,PARAKH_By_SocialGroup!AB26,PARAKH_By_SocialGroup!AF26,PARAKH_By_SocialGroup!AJ26),0)</f>
        <v>0.48888888888888882</v>
      </c>
      <c r="E207" s="54">
        <f>IFERROR(AVERAGE(PARAKH_By_SocialGroup!E26,PARAKH_By_SocialGroup!I26,PARAKH_By_SocialGroup!M26,PARAKH_By_SocialGroup!Q26,PARAKH_By_SocialGroup!U26,PARAKH_By_SocialGroup!Y26,PARAKH_By_SocialGroup!AC26,PARAKH_By_SocialGroup!AG26,PARAKH_By_SocialGroup!AK26),0)</f>
        <v>0.49888888888888894</v>
      </c>
      <c r="F207" s="70">
        <f t="shared" si="3"/>
        <v>8.0000000000000071E-2</v>
      </c>
      <c r="G207" s="70">
        <f t="shared" si="4"/>
        <v>7.7777777777777835E-2</v>
      </c>
    </row>
    <row r="208" spans="1:7" x14ac:dyDescent="0.3">
      <c r="A208" s="7" t="str">
        <f>Districts_Setup!$B$26</f>
        <v>Navsari</v>
      </c>
      <c r="B208" s="54">
        <f>IFERROR(AVERAGE(PARAKH_By_SocialGroup!B27,PARAKH_By_SocialGroup!F27,PARAKH_By_SocialGroup!J27,PARAKH_By_SocialGroup!N27,PARAKH_By_SocialGroup!R27,PARAKH_By_SocialGroup!V27,PARAKH_By_SocialGroup!Z27,PARAKH_By_SocialGroup!AD27,PARAKH_By_SocialGroup!AH27),0)</f>
        <v>0.48222222222222233</v>
      </c>
      <c r="C208" s="54">
        <f>IFERROR(AVERAGE(PARAKH_By_SocialGroup!C27,PARAKH_By_SocialGroup!G27,PARAKH_By_SocialGroup!K27,PARAKH_By_SocialGroup!O27,PARAKH_By_SocialGroup!S27,PARAKH_By_SocialGroup!W27,PARAKH_By_SocialGroup!AA27,PARAKH_By_SocialGroup!AE27,PARAKH_By_SocialGroup!AI27),0)</f>
        <v>0.42</v>
      </c>
      <c r="D208" s="54">
        <f>IFERROR(AVERAGE(PARAKH_By_SocialGroup!D27,PARAKH_By_SocialGroup!H27,PARAKH_By_SocialGroup!L27,PARAKH_By_SocialGroup!P27,PARAKH_By_SocialGroup!T27,PARAKH_By_SocialGroup!X27,PARAKH_By_SocialGroup!AB27,PARAKH_By_SocialGroup!AF27,PARAKH_By_SocialGroup!AJ27),0)</f>
        <v>0.5</v>
      </c>
      <c r="E208" s="54">
        <f>IFERROR(AVERAGE(PARAKH_By_SocialGroup!E27,PARAKH_By_SocialGroup!I27,PARAKH_By_SocialGroup!M27,PARAKH_By_SocialGroup!Q27,PARAKH_By_SocialGroup!U27,PARAKH_By_SocialGroup!Y27,PARAKH_By_SocialGroup!AC27,PARAKH_By_SocialGroup!AG27,PARAKH_By_SocialGroup!AK27),0)</f>
        <v>0.48555555555555557</v>
      </c>
      <c r="F208" s="70">
        <f t="shared" si="3"/>
        <v>3.3333333333332438E-3</v>
      </c>
      <c r="G208" s="70">
        <f t="shared" si="4"/>
        <v>6.5555555555555589E-2</v>
      </c>
    </row>
    <row r="209" spans="1:7" x14ac:dyDescent="0.3">
      <c r="A209" s="7" t="str">
        <f>Districts_Setup!$B$27</f>
        <v>Panchmahal</v>
      </c>
      <c r="B209" s="54">
        <f>IFERROR(AVERAGE(PARAKH_By_SocialGroup!B28,PARAKH_By_SocialGroup!F28,PARAKH_By_SocialGroup!J28,PARAKH_By_SocialGroup!N28,PARAKH_By_SocialGroup!R28,PARAKH_By_SocialGroup!V28,PARAKH_By_SocialGroup!Z28,PARAKH_By_SocialGroup!AD28,PARAKH_By_SocialGroup!AH28),0)</f>
        <v>0.43555555555555558</v>
      </c>
      <c r="C209" s="54">
        <f>IFERROR(AVERAGE(PARAKH_By_SocialGroup!C28,PARAKH_By_SocialGroup!G28,PARAKH_By_SocialGroup!K28,PARAKH_By_SocialGroup!O28,PARAKH_By_SocialGroup!S28,PARAKH_By_SocialGroup!W28,PARAKH_By_SocialGroup!AA28,PARAKH_By_SocialGroup!AE28,PARAKH_By_SocialGroup!AI28),0)</f>
        <v>0.40666666666666668</v>
      </c>
      <c r="D209" s="54">
        <f>IFERROR(AVERAGE(PARAKH_By_SocialGroup!D28,PARAKH_By_SocialGroup!H28,PARAKH_By_SocialGroup!L28,PARAKH_By_SocialGroup!P28,PARAKH_By_SocialGroup!T28,PARAKH_By_SocialGroup!X28,PARAKH_By_SocialGroup!AB28,PARAKH_By_SocialGroup!AF28,PARAKH_By_SocialGroup!AJ28),0)</f>
        <v>0.45222222222222214</v>
      </c>
      <c r="E209" s="54">
        <f>IFERROR(AVERAGE(PARAKH_By_SocialGroup!E28,PARAKH_By_SocialGroup!I28,PARAKH_By_SocialGroup!M28,PARAKH_By_SocialGroup!Q28,PARAKH_By_SocialGroup!U28,PARAKH_By_SocialGroup!Y28,PARAKH_By_SocialGroup!AC28,PARAKH_By_SocialGroup!AG28,PARAKH_By_SocialGroup!AK28),0)</f>
        <v>0.48333333333333339</v>
      </c>
      <c r="F209" s="70">
        <f t="shared" si="3"/>
        <v>4.7777777777777808E-2</v>
      </c>
      <c r="G209" s="70">
        <f t="shared" si="4"/>
        <v>7.6666666666666716E-2</v>
      </c>
    </row>
    <row r="210" spans="1:7" x14ac:dyDescent="0.3">
      <c r="A210" s="7" t="str">
        <f>Districts_Setup!$B$28</f>
        <v>Patan</v>
      </c>
      <c r="B210" s="54">
        <f>IFERROR(AVERAGE(PARAKH_By_SocialGroup!B29,PARAKH_By_SocialGroup!F29,PARAKH_By_SocialGroup!J29,PARAKH_By_SocialGroup!N29,PARAKH_By_SocialGroup!R29,PARAKH_By_SocialGroup!V29,PARAKH_By_SocialGroup!Z29,PARAKH_By_SocialGroup!AD29,PARAKH_By_SocialGroup!AH29),0)</f>
        <v>0.45555555555555549</v>
      </c>
      <c r="C210" s="54">
        <f>IFERROR(AVERAGE(PARAKH_By_SocialGroup!C29,PARAKH_By_SocialGroup!G29,PARAKH_By_SocialGroup!K29,PARAKH_By_SocialGroup!O29,PARAKH_By_SocialGroup!S29,PARAKH_By_SocialGroup!W29,PARAKH_By_SocialGroup!AA29,PARAKH_By_SocialGroup!AE29,PARAKH_By_SocialGroup!AI29),0)</f>
        <v>0.36222222222222222</v>
      </c>
      <c r="D210" s="54">
        <f>IFERROR(AVERAGE(PARAKH_By_SocialGroup!D29,PARAKH_By_SocialGroup!H29,PARAKH_By_SocialGroup!L29,PARAKH_By_SocialGroup!P29,PARAKH_By_SocialGroup!T29,PARAKH_By_SocialGroup!X29,PARAKH_By_SocialGroup!AB29,PARAKH_By_SocialGroup!AF29,PARAKH_By_SocialGroup!AJ29),0)</f>
        <v>0.41666666666666669</v>
      </c>
      <c r="E210" s="54">
        <f>IFERROR(AVERAGE(PARAKH_By_SocialGroup!E29,PARAKH_By_SocialGroup!I29,PARAKH_By_SocialGroup!M29,PARAKH_By_SocialGroup!Q29,PARAKH_By_SocialGroup!U29,PARAKH_By_SocialGroup!Y29,PARAKH_By_SocialGroup!AC29,PARAKH_By_SocialGroup!AG29,PARAKH_By_SocialGroup!AK29),0)</f>
        <v>0.52555555555555555</v>
      </c>
      <c r="F210" s="70">
        <f t="shared" si="3"/>
        <v>7.0000000000000062E-2</v>
      </c>
      <c r="G210" s="70">
        <f t="shared" si="4"/>
        <v>0.16333333333333333</v>
      </c>
    </row>
    <row r="211" spans="1:7" x14ac:dyDescent="0.3">
      <c r="A211" s="7" t="str">
        <f>Districts_Setup!$B$29</f>
        <v>Porbandar</v>
      </c>
      <c r="B211" s="54">
        <f>IFERROR(AVERAGE(PARAKH_By_SocialGroup!B30,PARAKH_By_SocialGroup!F30,PARAKH_By_SocialGroup!J30,PARAKH_By_SocialGroup!N30,PARAKH_By_SocialGroup!R30,PARAKH_By_SocialGroup!V30,PARAKH_By_SocialGroup!Z30,PARAKH_By_SocialGroup!AD30,PARAKH_By_SocialGroup!AH30),0)</f>
        <v>0.43333333333333335</v>
      </c>
      <c r="C211" s="54">
        <f>IFERROR(AVERAGE(PARAKH_By_SocialGroup!C30,PARAKH_By_SocialGroup!G30,PARAKH_By_SocialGroup!K30,PARAKH_By_SocialGroup!O30,PARAKH_By_SocialGroup!S30,PARAKH_By_SocialGroup!W30,PARAKH_By_SocialGroup!AA30,PARAKH_By_SocialGroup!AE30,PARAKH_By_SocialGroup!AI30),0)</f>
        <v>0.37111111111111111</v>
      </c>
      <c r="D211" s="54">
        <f>IFERROR(AVERAGE(PARAKH_By_SocialGroup!D30,PARAKH_By_SocialGroup!H30,PARAKH_By_SocialGroup!L30,PARAKH_By_SocialGroup!P30,PARAKH_By_SocialGroup!T30,PARAKH_By_SocialGroup!X30,PARAKH_By_SocialGroup!AB30,PARAKH_By_SocialGroup!AF30,PARAKH_By_SocialGroup!AJ30),0)</f>
        <v>0.42777777777777781</v>
      </c>
      <c r="E211" s="54">
        <f>IFERROR(AVERAGE(PARAKH_By_SocialGroup!E30,PARAKH_By_SocialGroup!I30,PARAKH_By_SocialGroup!M30,PARAKH_By_SocialGroup!Q30,PARAKH_By_SocialGroup!U30,PARAKH_By_SocialGroup!Y30,PARAKH_By_SocialGroup!AC30,PARAKH_By_SocialGroup!AG30,PARAKH_By_SocialGroup!AK30),0)</f>
        <v>0.48555555555555557</v>
      </c>
      <c r="F211" s="70">
        <f t="shared" si="3"/>
        <v>5.2222222222222225E-2</v>
      </c>
      <c r="G211" s="70">
        <f t="shared" si="4"/>
        <v>0.11444444444444446</v>
      </c>
    </row>
    <row r="212" spans="1:7" x14ac:dyDescent="0.3">
      <c r="A212" s="7" t="str">
        <f>Districts_Setup!$B$30</f>
        <v>Rajkot</v>
      </c>
      <c r="B212" s="54">
        <f>IFERROR(AVERAGE(PARAKH_By_SocialGroup!B31,PARAKH_By_SocialGroup!F31,PARAKH_By_SocialGroup!J31,PARAKH_By_SocialGroup!N31,PARAKH_By_SocialGroup!R31,PARAKH_By_SocialGroup!V31,PARAKH_By_SocialGroup!Z31,PARAKH_By_SocialGroup!AD31,PARAKH_By_SocialGroup!AH31),0)</f>
        <v>0.44666666666666671</v>
      </c>
      <c r="C212" s="54">
        <f>IFERROR(AVERAGE(PARAKH_By_SocialGroup!C31,PARAKH_By_SocialGroup!G31,PARAKH_By_SocialGroup!K31,PARAKH_By_SocialGroup!O31,PARAKH_By_SocialGroup!S31,PARAKH_By_SocialGroup!W31,PARAKH_By_SocialGroup!AA31,PARAKH_By_SocialGroup!AE31,PARAKH_By_SocialGroup!AI31),0)</f>
        <v>0.38777777777777778</v>
      </c>
      <c r="D212" s="54">
        <f>IFERROR(AVERAGE(PARAKH_By_SocialGroup!D31,PARAKH_By_SocialGroup!H31,PARAKH_By_SocialGroup!L31,PARAKH_By_SocialGroup!P31,PARAKH_By_SocialGroup!T31,PARAKH_By_SocialGroup!X31,PARAKH_By_SocialGroup!AB31,PARAKH_By_SocialGroup!AF31,PARAKH_By_SocialGroup!AJ31),0)</f>
        <v>0.42333333333333334</v>
      </c>
      <c r="E212" s="54">
        <f>IFERROR(AVERAGE(PARAKH_By_SocialGroup!E31,PARAKH_By_SocialGroup!I31,PARAKH_By_SocialGroup!M31,PARAKH_By_SocialGroup!Q31,PARAKH_By_SocialGroup!U31,PARAKH_By_SocialGroup!Y31,PARAKH_By_SocialGroup!AC31,PARAKH_By_SocialGroup!AG31,PARAKH_By_SocialGroup!AK31),0)</f>
        <v>0.51555555555555566</v>
      </c>
      <c r="F212" s="70">
        <f t="shared" si="3"/>
        <v>6.8888888888888944E-2</v>
      </c>
      <c r="G212" s="70">
        <f t="shared" si="4"/>
        <v>0.12777777777777788</v>
      </c>
    </row>
    <row r="213" spans="1:7" x14ac:dyDescent="0.3">
      <c r="A213" s="7" t="str">
        <f>Districts_Setup!$B$31</f>
        <v>Sabarkantha</v>
      </c>
      <c r="B213" s="54">
        <f>IFERROR(AVERAGE(PARAKH_By_SocialGroup!B32,PARAKH_By_SocialGroup!F32,PARAKH_By_SocialGroup!J32,PARAKH_By_SocialGroup!N32,PARAKH_By_SocialGroup!R32,PARAKH_By_SocialGroup!V32,PARAKH_By_SocialGroup!Z32,PARAKH_By_SocialGroup!AD32,PARAKH_By_SocialGroup!AH32),0)</f>
        <v>0.42333333333333328</v>
      </c>
      <c r="C213" s="54">
        <f>IFERROR(AVERAGE(PARAKH_By_SocialGroup!C32,PARAKH_By_SocialGroup!G32,PARAKH_By_SocialGroup!K32,PARAKH_By_SocialGroup!O32,PARAKH_By_SocialGroup!S32,PARAKH_By_SocialGroup!W32,PARAKH_By_SocialGroup!AA32,PARAKH_By_SocialGroup!AE32,PARAKH_By_SocialGroup!AI32),0)</f>
        <v>0.40111111111111108</v>
      </c>
      <c r="D213" s="54">
        <f>IFERROR(AVERAGE(PARAKH_By_SocialGroup!D32,PARAKH_By_SocialGroup!H32,PARAKH_By_SocialGroup!L32,PARAKH_By_SocialGroup!P32,PARAKH_By_SocialGroup!T32,PARAKH_By_SocialGroup!X32,PARAKH_By_SocialGroup!AB32,PARAKH_By_SocialGroup!AF32,PARAKH_By_SocialGroup!AJ32),0)</f>
        <v>0.46333333333333332</v>
      </c>
      <c r="E213" s="54">
        <f>IFERROR(AVERAGE(PARAKH_By_SocialGroup!E32,PARAKH_By_SocialGroup!I32,PARAKH_By_SocialGroup!M32,PARAKH_By_SocialGroup!Q32,PARAKH_By_SocialGroup!U32,PARAKH_By_SocialGroup!Y32,PARAKH_By_SocialGroup!AC32,PARAKH_By_SocialGroup!AG32,PARAKH_By_SocialGroup!AK32),0)</f>
        <v>0.50333333333333341</v>
      </c>
      <c r="F213" s="70">
        <f t="shared" si="3"/>
        <v>8.0000000000000127E-2</v>
      </c>
      <c r="G213" s="70">
        <f t="shared" si="4"/>
        <v>0.10222222222222233</v>
      </c>
    </row>
    <row r="214" spans="1:7" x14ac:dyDescent="0.3">
      <c r="A214" s="7" t="str">
        <f>Districts_Setup!$B$32</f>
        <v>Surat</v>
      </c>
      <c r="B214" s="54">
        <f>IFERROR(AVERAGE(PARAKH_By_SocialGroup!B33,PARAKH_By_SocialGroup!F33,PARAKH_By_SocialGroup!J33,PARAKH_By_SocialGroup!N33,PARAKH_By_SocialGroup!R33,PARAKH_By_SocialGroup!V33,PARAKH_By_SocialGroup!Z33,PARAKH_By_SocialGroup!AD33,PARAKH_By_SocialGroup!AH33),0)</f>
        <v>0.46333333333333332</v>
      </c>
      <c r="C214" s="54">
        <f>IFERROR(AVERAGE(PARAKH_By_SocialGroup!C33,PARAKH_By_SocialGroup!G33,PARAKH_By_SocialGroup!K33,PARAKH_By_SocialGroup!O33,PARAKH_By_SocialGroup!S33,PARAKH_By_SocialGroup!W33,PARAKH_By_SocialGroup!AA33,PARAKH_By_SocialGroup!AE33,PARAKH_By_SocialGroup!AI33),0)</f>
        <v>0.42333333333333334</v>
      </c>
      <c r="D214" s="54">
        <f>IFERROR(AVERAGE(PARAKH_By_SocialGroup!D33,PARAKH_By_SocialGroup!H33,PARAKH_By_SocialGroup!L33,PARAKH_By_SocialGroup!P33,PARAKH_By_SocialGroup!T33,PARAKH_By_SocialGroup!X33,PARAKH_By_SocialGroup!AB33,PARAKH_By_SocialGroup!AF33,PARAKH_By_SocialGroup!AJ33),0)</f>
        <v>0.48888888888888882</v>
      </c>
      <c r="E214" s="54">
        <f>IFERROR(AVERAGE(PARAKH_By_SocialGroup!E33,PARAKH_By_SocialGroup!I33,PARAKH_By_SocialGroup!M33,PARAKH_By_SocialGroup!Q33,PARAKH_By_SocialGroup!U33,PARAKH_By_SocialGroup!Y33,PARAKH_By_SocialGroup!AC33,PARAKH_By_SocialGroup!AG33,PARAKH_By_SocialGroup!AK33),0)</f>
        <v>0.48222222222222233</v>
      </c>
      <c r="F214" s="70">
        <f t="shared" si="3"/>
        <v>1.8888888888889011E-2</v>
      </c>
      <c r="G214" s="70">
        <f t="shared" si="4"/>
        <v>5.8888888888888991E-2</v>
      </c>
    </row>
    <row r="215" spans="1:7" x14ac:dyDescent="0.3">
      <c r="A215" s="7" t="str">
        <f>Districts_Setup!$B$33</f>
        <v>Surendranagar</v>
      </c>
      <c r="B215" s="54">
        <f>IFERROR(AVERAGE(PARAKH_By_SocialGroup!B34,PARAKH_By_SocialGroup!F34,PARAKH_By_SocialGroup!J34,PARAKH_By_SocialGroup!N34,PARAKH_By_SocialGroup!R34,PARAKH_By_SocialGroup!V34,PARAKH_By_SocialGroup!Z34,PARAKH_By_SocialGroup!AD34,PARAKH_By_SocialGroup!AH34),0)</f>
        <v>0.48555555555555557</v>
      </c>
      <c r="C215" s="54">
        <f>IFERROR(AVERAGE(PARAKH_By_SocialGroup!C34,PARAKH_By_SocialGroup!G34,PARAKH_By_SocialGroup!K34,PARAKH_By_SocialGroup!O34,PARAKH_By_SocialGroup!S34,PARAKH_By_SocialGroup!W34,PARAKH_By_SocialGroup!AA34,PARAKH_By_SocialGroup!AE34,PARAKH_By_SocialGroup!AI34),0)</f>
        <v>0.38888888888888895</v>
      </c>
      <c r="D215" s="54">
        <f>IFERROR(AVERAGE(PARAKH_By_SocialGroup!D34,PARAKH_By_SocialGroup!H34,PARAKH_By_SocialGroup!L34,PARAKH_By_SocialGroup!P34,PARAKH_By_SocialGroup!T34,PARAKH_By_SocialGroup!X34,PARAKH_By_SocialGroup!AB34,PARAKH_By_SocialGroup!AF34,PARAKH_By_SocialGroup!AJ34),0)</f>
        <v>0.44777777777777783</v>
      </c>
      <c r="E215" s="54">
        <f>IFERROR(AVERAGE(PARAKH_By_SocialGroup!E34,PARAKH_By_SocialGroup!I34,PARAKH_By_SocialGroup!M34,PARAKH_By_SocialGroup!Q34,PARAKH_By_SocialGroup!U34,PARAKH_By_SocialGroup!Y34,PARAKH_By_SocialGroup!AC34,PARAKH_By_SocialGroup!AG34,PARAKH_By_SocialGroup!AK34),0)</f>
        <v>0.52555555555555555</v>
      </c>
      <c r="F215" s="70">
        <f t="shared" si="3"/>
        <v>3.999999999999998E-2</v>
      </c>
      <c r="G215" s="70">
        <f t="shared" si="4"/>
        <v>0.1366666666666666</v>
      </c>
    </row>
    <row r="216" spans="1:7" x14ac:dyDescent="0.3">
      <c r="A216" s="7" t="str">
        <f>Districts_Setup!$B$34</f>
        <v>Tapi</v>
      </c>
      <c r="B216" s="54">
        <f>IFERROR(AVERAGE(PARAKH_By_SocialGroup!B35,PARAKH_By_SocialGroup!F35,PARAKH_By_SocialGroup!J35,PARAKH_By_SocialGroup!N35,PARAKH_By_SocialGroup!R35,PARAKH_By_SocialGroup!V35,PARAKH_By_SocialGroup!Z35,PARAKH_By_SocialGroup!AD35,PARAKH_By_SocialGroup!AH35),0)</f>
        <v>0.43222222222222223</v>
      </c>
      <c r="C216" s="54">
        <f>IFERROR(AVERAGE(PARAKH_By_SocialGroup!C35,PARAKH_By_SocialGroup!G35,PARAKH_By_SocialGroup!K35,PARAKH_By_SocialGroup!O35,PARAKH_By_SocialGroup!S35,PARAKH_By_SocialGroup!W35,PARAKH_By_SocialGroup!AA35,PARAKH_By_SocialGroup!AE35,PARAKH_By_SocialGroup!AI35),0)</f>
        <v>0.46111111111111103</v>
      </c>
      <c r="D216" s="54">
        <f>IFERROR(AVERAGE(PARAKH_By_SocialGroup!D35,PARAKH_By_SocialGroup!H35,PARAKH_By_SocialGroup!L35,PARAKH_By_SocialGroup!P35,PARAKH_By_SocialGroup!T35,PARAKH_By_SocialGroup!X35,PARAKH_By_SocialGroup!AB35,PARAKH_By_SocialGroup!AF35,PARAKH_By_SocialGroup!AJ35),0)</f>
        <v>0.52444444444444438</v>
      </c>
      <c r="E216" s="54">
        <f>IFERROR(AVERAGE(PARAKH_By_SocialGroup!E35,PARAKH_By_SocialGroup!I35,PARAKH_By_SocialGroup!M35,PARAKH_By_SocialGroup!Q35,PARAKH_By_SocialGroup!U35,PARAKH_By_SocialGroup!Y35,PARAKH_By_SocialGroup!AC35,PARAKH_By_SocialGroup!AG35,PARAKH_By_SocialGroup!AK35),0)</f>
        <v>0.53333333333333344</v>
      </c>
      <c r="F216" s="70">
        <f t="shared" si="3"/>
        <v>0.10111111111111121</v>
      </c>
      <c r="G216" s="70">
        <f t="shared" si="4"/>
        <v>7.222222222222241E-2</v>
      </c>
    </row>
    <row r="217" spans="1:7" x14ac:dyDescent="0.3">
      <c r="A217" s="7" t="str">
        <f>Districts_Setup!$B$35</f>
        <v>Vadodara</v>
      </c>
      <c r="B217" s="54">
        <f>IFERROR(AVERAGE(PARAKH_By_SocialGroup!B36,PARAKH_By_SocialGroup!F36,PARAKH_By_SocialGroup!J36,PARAKH_By_SocialGroup!N36,PARAKH_By_SocialGroup!R36,PARAKH_By_SocialGroup!V36,PARAKH_By_SocialGroup!Z36,PARAKH_By_SocialGroup!AD36,PARAKH_By_SocialGroup!AH36),0)</f>
        <v>0.46333333333333332</v>
      </c>
      <c r="C217" s="54">
        <f>IFERROR(AVERAGE(PARAKH_By_SocialGroup!C36,PARAKH_By_SocialGroup!G36,PARAKH_By_SocialGroup!K36,PARAKH_By_SocialGroup!O36,PARAKH_By_SocialGroup!S36,PARAKH_By_SocialGroup!W36,PARAKH_By_SocialGroup!AA36,PARAKH_By_SocialGroup!AE36,PARAKH_By_SocialGroup!AI36),0)</f>
        <v>0.41666666666666663</v>
      </c>
      <c r="D217" s="54">
        <f>IFERROR(AVERAGE(PARAKH_By_SocialGroup!D36,PARAKH_By_SocialGroup!H36,PARAKH_By_SocialGroup!L36,PARAKH_By_SocialGroup!P36,PARAKH_By_SocialGroup!T36,PARAKH_By_SocialGroup!X36,PARAKH_By_SocialGroup!AB36,PARAKH_By_SocialGroup!AF36,PARAKH_By_SocialGroup!AJ36),0)</f>
        <v>0.44444444444444442</v>
      </c>
      <c r="E217" s="54">
        <f>IFERROR(AVERAGE(PARAKH_By_SocialGroup!E36,PARAKH_By_SocialGroup!I36,PARAKH_By_SocialGroup!M36,PARAKH_By_SocialGroup!Q36,PARAKH_By_SocialGroup!U36,PARAKH_By_SocialGroup!Y36,PARAKH_By_SocialGroup!AC36,PARAKH_By_SocialGroup!AG36,PARAKH_By_SocialGroup!AK36),0)</f>
        <v>0.4811111111111111</v>
      </c>
      <c r="F217" s="70">
        <f t="shared" si="3"/>
        <v>1.7777777777777781E-2</v>
      </c>
      <c r="G217" s="70">
        <f t="shared" si="4"/>
        <v>6.4444444444444471E-2</v>
      </c>
    </row>
    <row r="218" spans="1:7" x14ac:dyDescent="0.3">
      <c r="A218" s="7" t="str">
        <f>Districts_Setup!$B$36</f>
        <v>Valsad</v>
      </c>
      <c r="B218" s="54">
        <f>IFERROR(AVERAGE(PARAKH_By_SocialGroup!B37,PARAKH_By_SocialGroup!F37,PARAKH_By_SocialGroup!J37,PARAKH_By_SocialGroup!N37,PARAKH_By_SocialGroup!R37,PARAKH_By_SocialGroup!V37,PARAKH_By_SocialGroup!Z37,PARAKH_By_SocialGroup!AD37,PARAKH_By_SocialGroup!AH37),0)</f>
        <v>0.47777777777777775</v>
      </c>
      <c r="C218" s="54">
        <f>IFERROR(AVERAGE(PARAKH_By_SocialGroup!C37,PARAKH_By_SocialGroup!G37,PARAKH_By_SocialGroup!K37,PARAKH_By_SocialGroup!O37,PARAKH_By_SocialGroup!S37,PARAKH_By_SocialGroup!W37,PARAKH_By_SocialGroup!AA37,PARAKH_By_SocialGroup!AE37,PARAKH_By_SocialGroup!AI37),0)</f>
        <v>0.42222222222222222</v>
      </c>
      <c r="D218" s="54">
        <f>IFERROR(AVERAGE(PARAKH_By_SocialGroup!D37,PARAKH_By_SocialGroup!H37,PARAKH_By_SocialGroup!L37,PARAKH_By_SocialGroup!P37,PARAKH_By_SocialGroup!T37,PARAKH_By_SocialGroup!X37,PARAKH_By_SocialGroup!AB37,PARAKH_By_SocialGroup!AF37,PARAKH_By_SocialGroup!AJ37),0)</f>
        <v>0.52</v>
      </c>
      <c r="E218" s="54">
        <f>IFERROR(AVERAGE(PARAKH_By_SocialGroup!E37,PARAKH_By_SocialGroup!I37,PARAKH_By_SocialGroup!M37,PARAKH_By_SocialGroup!Q37,PARAKH_By_SocialGroup!U37,PARAKH_By_SocialGroup!Y37,PARAKH_By_SocialGroup!AC37,PARAKH_By_SocialGroup!AG37,PARAKH_By_SocialGroup!AK37),0)</f>
        <v>0.49</v>
      </c>
      <c r="F218" s="70">
        <f t="shared" si="3"/>
        <v>1.2222222222222245E-2</v>
      </c>
      <c r="G218" s="70">
        <f t="shared" si="4"/>
        <v>6.777777777777777E-2</v>
      </c>
    </row>
    <row r="220" spans="1:7" ht="15.6" x14ac:dyDescent="0.3">
      <c r="A220" s="35" t="s">
        <v>712</v>
      </c>
    </row>
    <row r="221" spans="1:7" ht="24" x14ac:dyDescent="0.3">
      <c r="A221" s="71" t="s">
        <v>713</v>
      </c>
      <c r="B221" s="71" t="s">
        <v>714</v>
      </c>
      <c r="C221" s="71" t="s">
        <v>715</v>
      </c>
      <c r="D221" s="71" t="s">
        <v>716</v>
      </c>
    </row>
    <row r="222" spans="1:7" x14ac:dyDescent="0.3">
      <c r="A222" s="7" t="s">
        <v>717</v>
      </c>
      <c r="B222" s="54">
        <f>IFERROR(AVERAGE(PARAKH_Contextual_School!BP5:BP13),0)</f>
        <v>0.68031243723787582</v>
      </c>
      <c r="C222" s="54">
        <f>IFERROR(AVERAGE(PARAKH_Contextual_School!BQ5:BQ13),0)</f>
        <v>0.67746823568461001</v>
      </c>
      <c r="D222" s="70">
        <f>B222-C222</f>
        <v>2.8442015532658127E-3</v>
      </c>
    </row>
    <row r="223" spans="1:7" x14ac:dyDescent="0.3">
      <c r="A223" s="7" t="s">
        <v>718</v>
      </c>
      <c r="B223" s="54">
        <f>IFERROR(AVERAGE(PARAKH_Contextual_Teacher!BP5:BP11),0)</f>
        <v>0.63259740259740271</v>
      </c>
      <c r="C223" s="54">
        <f>IFERROR(AVERAGE(PARAKH_Contextual_Teacher!BQ5:BQ11),0)</f>
        <v>0.63307359307359312</v>
      </c>
      <c r="D223" s="70">
        <f>B223-C223</f>
        <v>-4.7619047619040789E-4</v>
      </c>
    </row>
    <row r="224" spans="1:7" x14ac:dyDescent="0.3">
      <c r="A224" s="7" t="s">
        <v>719</v>
      </c>
      <c r="B224" s="54">
        <f>IFERROR(AVERAGE(PARAKH_Contextual_Pupil_G3!BP5:BP13),0)</f>
        <v>0.54828576464687595</v>
      </c>
      <c r="C224" s="54">
        <f>IFERROR(AVERAGE(PARAKH_Contextual_Pupil_G3!BQ5:BQ13),0)</f>
        <v>0.48358401063956624</v>
      </c>
      <c r="D224" s="70">
        <f>B224-C224</f>
        <v>6.4701754007309709E-2</v>
      </c>
    </row>
    <row r="225" spans="1:4" x14ac:dyDescent="0.3">
      <c r="A225" s="7" t="s">
        <v>720</v>
      </c>
      <c r="B225" s="54">
        <f>IFERROR(AVERAGE(PARAKH_Contextual_Pupil_G6!BP5:BP13),0)</f>
        <v>0.58885231640787206</v>
      </c>
      <c r="C225" s="54">
        <f>IFERROR(AVERAGE(PARAKH_Contextual_Pupil_G6!BQ5:BQ13),0)</f>
        <v>0.49064164333608784</v>
      </c>
      <c r="D225" s="70">
        <f>B225-C225</f>
        <v>9.8210673071784216E-2</v>
      </c>
    </row>
    <row r="226" spans="1:4" x14ac:dyDescent="0.3">
      <c r="A226" s="7" t="s">
        <v>721</v>
      </c>
      <c r="B226" s="54">
        <f>IFERROR(AVERAGE(PARAKH_Contextual_Pupil_G9!BP5:BP14),0)</f>
        <v>0.61589737316555504</v>
      </c>
      <c r="C226" s="54">
        <f>IFERROR(AVERAGE(PARAKH_Contextual_Pupil_G9!BQ5:BQ14),0)</f>
        <v>0.55482841735284916</v>
      </c>
      <c r="D226" s="70">
        <f>B226-C226</f>
        <v>6.1068955812705883E-2</v>
      </c>
    </row>
  </sheetData>
  <mergeCells count="2">
    <mergeCell ref="A1:AI1"/>
    <mergeCell ref="A2:AI2"/>
  </mergeCells>
  <conditionalFormatting sqref="B150:E182">
    <cfRule type="colorScale" priority="8">
      <colorScale>
        <cfvo type="min"/>
        <cfvo type="percentile" val="50"/>
        <cfvo type="max"/>
        <color rgb="FFF4CCCC"/>
        <color rgb="FFFFF2CC"/>
        <color rgb="FFD9EAD3"/>
      </colorScale>
    </cfRule>
  </conditionalFormatting>
  <conditionalFormatting sqref="B42:J74">
    <cfRule type="colorScale" priority="3">
      <colorScale>
        <cfvo type="min"/>
        <cfvo type="percentile" val="50"/>
        <cfvo type="max"/>
        <color rgb="FFF4CCCC"/>
        <color rgb="FFFFF2CC"/>
        <color rgb="FFD9EAD3"/>
      </colorScale>
    </cfRule>
  </conditionalFormatting>
  <conditionalFormatting sqref="D78:D110">
    <cfRule type="cellIs" dxfId="10" priority="4" operator="lessThan">
      <formula>0</formula>
    </cfRule>
    <cfRule type="cellIs" dxfId="9" priority="5" operator="greaterThanOrEqual">
      <formula>0</formula>
    </cfRule>
  </conditionalFormatting>
  <conditionalFormatting sqref="D114:D146">
    <cfRule type="cellIs" dxfId="8" priority="6" operator="lessThan">
      <formula>0</formula>
    </cfRule>
    <cfRule type="cellIs" dxfId="7" priority="7" operator="greaterThanOrEqual">
      <formula>0</formula>
    </cfRule>
  </conditionalFormatting>
  <conditionalFormatting sqref="E6:E38">
    <cfRule type="colorScale" priority="2">
      <colorScale>
        <cfvo type="min"/>
        <cfvo type="percentile" val="50"/>
        <cfvo type="max"/>
        <color rgb="FFF4CCCC"/>
        <color rgb="FFFFF2CC"/>
        <color rgb="FFD9EAD3"/>
      </colorScale>
    </cfRule>
  </conditionalFormatting>
  <conditionalFormatting sqref="F186:G218">
    <cfRule type="cellIs" dxfId="6" priority="9" operator="greaterThan">
      <formula>0</formula>
    </cfRule>
    <cfRule type="cellIs" dxfId="5" priority="10" operator="lessThanOrEqual">
      <formula>0</formula>
    </cfRule>
  </conditionalFormatting>
  <pageMargins left="0.75" right="0.75" top="1" bottom="1" header="0.511811023622047" footer="0.511811023622047"/>
  <pageSetup paperSize="9" orientation="portrait"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00000"/>
  </sheetPr>
  <dimension ref="A1:H45"/>
  <sheetViews>
    <sheetView showGridLines="0" zoomScaleNormal="100" workbookViewId="0">
      <pane ySplit="5" topLeftCell="A6" activePane="bottomLeft" state="frozen"/>
      <selection pane="bottomLeft" activeCell="D9" sqref="D9"/>
    </sheetView>
  </sheetViews>
  <sheetFormatPr defaultColWidth="8.6640625" defaultRowHeight="14.4" x14ac:dyDescent="0.3"/>
  <cols>
    <col min="1" max="1" width="18" style="6" customWidth="1"/>
    <col min="2" max="2" width="14" style="6" customWidth="1"/>
    <col min="3" max="3" width="18.44140625" style="6" customWidth="1"/>
    <col min="4" max="4" width="20" style="6" customWidth="1"/>
    <col min="5" max="5" width="16" style="6" customWidth="1"/>
    <col min="6" max="6" width="18" style="6" customWidth="1"/>
    <col min="7" max="7" width="8" style="6" customWidth="1"/>
    <col min="8" max="8" width="55" style="6" customWidth="1"/>
    <col min="9" max="16384" width="8.6640625" style="6"/>
  </cols>
  <sheetData>
    <row r="1" spans="1:8" ht="27.75" customHeight="1" x14ac:dyDescent="0.3">
      <c r="A1" s="79" t="s">
        <v>800</v>
      </c>
      <c r="B1" s="79"/>
      <c r="C1" s="79"/>
      <c r="D1" s="79"/>
      <c r="E1" s="79"/>
      <c r="F1" s="79"/>
      <c r="G1" s="79"/>
      <c r="H1" s="79"/>
    </row>
    <row r="2" spans="1:8" ht="15.6" x14ac:dyDescent="0.3">
      <c r="A2" s="80" t="s">
        <v>722</v>
      </c>
      <c r="B2" s="80"/>
      <c r="C2" s="80"/>
      <c r="D2" s="80"/>
      <c r="E2" s="80"/>
      <c r="F2" s="80"/>
      <c r="G2" s="80"/>
      <c r="H2" s="80"/>
    </row>
    <row r="3" spans="1:8" ht="15.6" x14ac:dyDescent="0.3">
      <c r="A3" s="15" t="s">
        <v>723</v>
      </c>
      <c r="B3" s="77">
        <v>0.5</v>
      </c>
      <c r="C3" s="15" t="s">
        <v>724</v>
      </c>
      <c r="D3" s="77">
        <v>0.5</v>
      </c>
      <c r="E3" s="30" t="s">
        <v>725</v>
      </c>
      <c r="F3" s="11"/>
      <c r="G3" s="11"/>
      <c r="H3" s="11"/>
    </row>
    <row r="5" spans="1:8" ht="31.5" customHeight="1" x14ac:dyDescent="0.3">
      <c r="A5" s="78" t="s">
        <v>619</v>
      </c>
      <c r="B5" s="78" t="s">
        <v>726</v>
      </c>
      <c r="C5" s="78" t="s">
        <v>477</v>
      </c>
      <c r="D5" s="78" t="s">
        <v>727</v>
      </c>
      <c r="E5" s="78" t="s">
        <v>728</v>
      </c>
      <c r="F5" s="78" t="s">
        <v>729</v>
      </c>
      <c r="G5" s="78" t="s">
        <v>730</v>
      </c>
      <c r="H5" s="78" t="s">
        <v>731</v>
      </c>
    </row>
    <row r="6" spans="1:8" ht="30" customHeight="1" x14ac:dyDescent="0.3">
      <c r="A6" s="7" t="str">
        <f>Districts_Setup!$B$4</f>
        <v>Ahmedabad</v>
      </c>
      <c r="B6" s="27">
        <f>'District_PGI-D_600'!G93</f>
        <v>51.469999999999992</v>
      </c>
      <c r="C6" s="24" t="str">
        <f>'District_PGI-D_600'!G94</f>
        <v>Prachesta-1</v>
      </c>
      <c r="D6" s="27">
        <f>Dashboard_PARAKH!E6*100</f>
        <v>46.578661616161618</v>
      </c>
      <c r="E6" s="27">
        <f>$B$3*B6+$D$3*D6</f>
        <v>49.024330808080805</v>
      </c>
      <c r="F6" s="24" t="str">
        <f>IFERROR(VLOOKUP(E6,Grading_Scale!$A$16:$B$20,2,TRUE()),"")</f>
        <v>Needs Improvement</v>
      </c>
      <c r="G6" s="24">
        <f>RANK(E6,$E$6:$E$38,0)</f>
        <v>23</v>
      </c>
      <c r="H6" s="8" t="str">
        <f t="shared" ref="H6:H38" si="0">IF(F6="Low Performing","Priority for intervention — both PARAKH learning outcomes and PGI-D systemic indicators need attention.",IF(F6="Needs Improvement","Targeted support recommended on weaker domain (compare columns B and D).",IF(F6="High Performing","Strong performer — consider as a peer-learning model district.","Monitor and sustain progress.")))</f>
        <v>Targeted support recommended on weaker domain (compare columns B and D).</v>
      </c>
    </row>
    <row r="7" spans="1:8" ht="30" customHeight="1" x14ac:dyDescent="0.3">
      <c r="A7" s="7" t="str">
        <f>Districts_Setup!$B$5</f>
        <v>Amreli</v>
      </c>
      <c r="B7" s="27">
        <f>'District_PGI-D_600'!H93</f>
        <v>52.566666666666663</v>
      </c>
      <c r="C7" s="24" t="str">
        <f>'District_PGI-D_600'!H94</f>
        <v>Prachesta-1</v>
      </c>
      <c r="D7" s="27">
        <f>Dashboard_PARAKH!E7*100</f>
        <v>43.662752525252522</v>
      </c>
      <c r="E7" s="27">
        <f t="shared" ref="E7:E38" si="1">$B$3*B7+$D$3*D7</f>
        <v>48.114709595959596</v>
      </c>
      <c r="F7" s="24" t="str">
        <f>IFERROR(VLOOKUP(E7,Grading_Scale!$A$16:$B$20,2,TRUE()),"")</f>
        <v>Needs Improvement</v>
      </c>
      <c r="G7" s="24">
        <f t="shared" ref="G7:G38" si="2">RANK(E7,$E$6:$E$38,0)</f>
        <v>27</v>
      </c>
      <c r="H7" s="8" t="str">
        <f t="shared" si="0"/>
        <v>Targeted support recommended on weaker domain (compare columns B and D).</v>
      </c>
    </row>
    <row r="8" spans="1:8" ht="30" customHeight="1" x14ac:dyDescent="0.3">
      <c r="A8" s="7" t="str">
        <f>Districts_Setup!$B$6</f>
        <v>Anand</v>
      </c>
      <c r="B8" s="27">
        <f>'District_PGI-D_600'!I93</f>
        <v>55.895000000000003</v>
      </c>
      <c r="C8" s="24" t="str">
        <f>'District_PGI-D_600'!I94</f>
        <v>Prachesta-1</v>
      </c>
      <c r="D8" s="27">
        <f>Dashboard_PARAKH!E8*100</f>
        <v>45.879797979797978</v>
      </c>
      <c r="E8" s="27">
        <f t="shared" si="1"/>
        <v>50.88739898989899</v>
      </c>
      <c r="F8" s="24" t="str">
        <f>IFERROR(VLOOKUP(E8,Grading_Scale!$A$16:$B$20,2,TRUE()),"")</f>
        <v>Needs Improvement</v>
      </c>
      <c r="G8" s="24">
        <f t="shared" si="2"/>
        <v>9</v>
      </c>
      <c r="H8" s="8" t="str">
        <f t="shared" si="0"/>
        <v>Targeted support recommended on weaker domain (compare columns B and D).</v>
      </c>
    </row>
    <row r="9" spans="1:8" ht="30" customHeight="1" x14ac:dyDescent="0.3">
      <c r="A9" s="7" t="str">
        <f>Districts_Setup!$B$7</f>
        <v>Aravalli</v>
      </c>
      <c r="B9" s="27">
        <f>'District_PGI-D_600'!J93</f>
        <v>53.496666666666655</v>
      </c>
      <c r="C9" s="24" t="str">
        <f>'District_PGI-D_600'!J94</f>
        <v>Prachesta-1</v>
      </c>
      <c r="D9" s="27">
        <f>Dashboard_PARAKH!E9*100</f>
        <v>42.369949494949495</v>
      </c>
      <c r="E9" s="27">
        <f t="shared" si="1"/>
        <v>47.933308080808075</v>
      </c>
      <c r="F9" s="24" t="str">
        <f>IFERROR(VLOOKUP(E9,Grading_Scale!$A$16:$B$20,2,TRUE()),"")</f>
        <v>Needs Improvement</v>
      </c>
      <c r="G9" s="24">
        <f t="shared" si="2"/>
        <v>29</v>
      </c>
      <c r="H9" s="8" t="str">
        <f t="shared" si="0"/>
        <v>Targeted support recommended on weaker domain (compare columns B and D).</v>
      </c>
    </row>
    <row r="10" spans="1:8" ht="30" customHeight="1" x14ac:dyDescent="0.3">
      <c r="A10" s="7" t="str">
        <f>Districts_Setup!$B$8</f>
        <v>Banaskantha</v>
      </c>
      <c r="B10" s="27">
        <f>'District_PGI-D_600'!K93</f>
        <v>53.206666666666671</v>
      </c>
      <c r="C10" s="24" t="str">
        <f>'District_PGI-D_600'!K94</f>
        <v>Prachesta-1</v>
      </c>
      <c r="D10" s="27">
        <f>Dashboard_PARAKH!E10*100</f>
        <v>45.053282828282825</v>
      </c>
      <c r="E10" s="27">
        <f t="shared" si="1"/>
        <v>49.129974747474748</v>
      </c>
      <c r="F10" s="24" t="str">
        <f>IFERROR(VLOOKUP(E10,Grading_Scale!$A$16:$B$20,2,TRUE()),"")</f>
        <v>Needs Improvement</v>
      </c>
      <c r="G10" s="24">
        <f t="shared" si="2"/>
        <v>22</v>
      </c>
      <c r="H10" s="8" t="str">
        <f t="shared" si="0"/>
        <v>Targeted support recommended on weaker domain (compare columns B and D).</v>
      </c>
    </row>
    <row r="11" spans="1:8" ht="30" customHeight="1" x14ac:dyDescent="0.3">
      <c r="A11" s="7" t="str">
        <f>Districts_Setup!$B$9</f>
        <v>Bharuch</v>
      </c>
      <c r="B11" s="27">
        <f>'District_PGI-D_600'!L93</f>
        <v>53.018333333333331</v>
      </c>
      <c r="C11" s="24" t="str">
        <f>'District_PGI-D_600'!L94</f>
        <v>Prachesta-1</v>
      </c>
      <c r="D11" s="27">
        <f>Dashboard_PARAKH!E11*100</f>
        <v>44.940151515151513</v>
      </c>
      <c r="E11" s="27">
        <f t="shared" si="1"/>
        <v>48.979242424242422</v>
      </c>
      <c r="F11" s="24" t="str">
        <f>IFERROR(VLOOKUP(E11,Grading_Scale!$A$16:$B$20,2,TRUE()),"")</f>
        <v>Needs Improvement</v>
      </c>
      <c r="G11" s="24">
        <f t="shared" si="2"/>
        <v>24</v>
      </c>
      <c r="H11" s="8" t="str">
        <f t="shared" si="0"/>
        <v>Targeted support recommended on weaker domain (compare columns B and D).</v>
      </c>
    </row>
    <row r="12" spans="1:8" ht="30" customHeight="1" x14ac:dyDescent="0.3">
      <c r="A12" s="7" t="str">
        <f>Districts_Setup!$B$10</f>
        <v>Bhavnagar</v>
      </c>
      <c r="B12" s="27">
        <f>'District_PGI-D_600'!M93</f>
        <v>55.716666666666661</v>
      </c>
      <c r="C12" s="24" t="str">
        <f>'District_PGI-D_600'!M94</f>
        <v>Prachesta-1</v>
      </c>
      <c r="D12" s="27">
        <f>Dashboard_PARAKH!E12*100</f>
        <v>48.253282828282835</v>
      </c>
      <c r="E12" s="27">
        <f t="shared" si="1"/>
        <v>51.984974747474752</v>
      </c>
      <c r="F12" s="24" t="str">
        <f>IFERROR(VLOOKUP(E12,Grading_Scale!$A$16:$B$20,2,TRUE()),"")</f>
        <v>Needs Improvement</v>
      </c>
      <c r="G12" s="24">
        <f t="shared" si="2"/>
        <v>3</v>
      </c>
      <c r="H12" s="8" t="str">
        <f t="shared" si="0"/>
        <v>Targeted support recommended on weaker domain (compare columns B and D).</v>
      </c>
    </row>
    <row r="13" spans="1:8" ht="30" customHeight="1" x14ac:dyDescent="0.3">
      <c r="A13" s="7" t="str">
        <f>Districts_Setup!$B$11</f>
        <v>Botad</v>
      </c>
      <c r="B13" s="27">
        <f>'District_PGI-D_600'!N93</f>
        <v>53.668333333333329</v>
      </c>
      <c r="C13" s="24" t="str">
        <f>'District_PGI-D_600'!N94</f>
        <v>Prachesta-1</v>
      </c>
      <c r="D13" s="27">
        <f>Dashboard_PARAKH!E13*100</f>
        <v>44.93320707070707</v>
      </c>
      <c r="E13" s="27">
        <f t="shared" si="1"/>
        <v>49.300770202020203</v>
      </c>
      <c r="F13" s="24" t="str">
        <f>IFERROR(VLOOKUP(E13,Grading_Scale!$A$16:$B$20,2,TRUE()),"")</f>
        <v>Needs Improvement</v>
      </c>
      <c r="G13" s="24">
        <f t="shared" si="2"/>
        <v>20</v>
      </c>
      <c r="H13" s="8" t="str">
        <f t="shared" si="0"/>
        <v>Targeted support recommended on weaker domain (compare columns B and D).</v>
      </c>
    </row>
    <row r="14" spans="1:8" ht="30" customHeight="1" x14ac:dyDescent="0.3">
      <c r="A14" s="7" t="str">
        <f>Districts_Setup!$B$12</f>
        <v>Chhota Udepur</v>
      </c>
      <c r="B14" s="27">
        <f>'District_PGI-D_600'!O93</f>
        <v>50.160000000000004</v>
      </c>
      <c r="C14" s="24" t="str">
        <f>'District_PGI-D_600'!O94</f>
        <v>Prachesta-2</v>
      </c>
      <c r="D14" s="27">
        <f>Dashboard_PARAKH!E14*100</f>
        <v>40.787373737373741</v>
      </c>
      <c r="E14" s="27">
        <f t="shared" si="1"/>
        <v>45.473686868686869</v>
      </c>
      <c r="F14" s="24" t="str">
        <f>IFERROR(VLOOKUP(E14,Grading_Scale!$A$16:$B$20,2,TRUE()),"")</f>
        <v>Needs Improvement</v>
      </c>
      <c r="G14" s="24">
        <f t="shared" si="2"/>
        <v>33</v>
      </c>
      <c r="H14" s="8" t="str">
        <f t="shared" si="0"/>
        <v>Targeted support recommended on weaker domain (compare columns B and D).</v>
      </c>
    </row>
    <row r="15" spans="1:8" ht="30" customHeight="1" x14ac:dyDescent="0.3">
      <c r="A15" s="7" t="str">
        <f>Districts_Setup!$B$13</f>
        <v>Dahod</v>
      </c>
      <c r="B15" s="27">
        <f>'District_PGI-D_600'!P93</f>
        <v>50.945000000000007</v>
      </c>
      <c r="C15" s="24" t="str">
        <f>'District_PGI-D_600'!P94</f>
        <v>Prachesta-2</v>
      </c>
      <c r="D15" s="27">
        <f>Dashboard_PARAKH!E15*100</f>
        <v>45.163383838383837</v>
      </c>
      <c r="E15" s="27">
        <f t="shared" si="1"/>
        <v>48.054191919191922</v>
      </c>
      <c r="F15" s="24" t="str">
        <f>IFERROR(VLOOKUP(E15,Grading_Scale!$A$16:$B$20,2,TRUE()),"")</f>
        <v>Needs Improvement</v>
      </c>
      <c r="G15" s="24">
        <f t="shared" si="2"/>
        <v>28</v>
      </c>
      <c r="H15" s="8" t="str">
        <f t="shared" si="0"/>
        <v>Targeted support recommended on weaker domain (compare columns B and D).</v>
      </c>
    </row>
    <row r="16" spans="1:8" ht="30" customHeight="1" x14ac:dyDescent="0.3">
      <c r="A16" s="7" t="str">
        <f>Districts_Setup!$B$14</f>
        <v>Dang</v>
      </c>
      <c r="B16" s="27">
        <f>'District_PGI-D_600'!Q93</f>
        <v>52.418333333333322</v>
      </c>
      <c r="C16" s="24" t="str">
        <f>'District_PGI-D_600'!Q94</f>
        <v>Prachesta-1</v>
      </c>
      <c r="D16" s="27">
        <f>Dashboard_PARAKH!E16*100</f>
        <v>46.561616161616158</v>
      </c>
      <c r="E16" s="27">
        <f t="shared" si="1"/>
        <v>49.48997474747474</v>
      </c>
      <c r="F16" s="24" t="str">
        <f>IFERROR(VLOOKUP(E16,Grading_Scale!$A$16:$B$20,2,TRUE()),"")</f>
        <v>Needs Improvement</v>
      </c>
      <c r="G16" s="24">
        <f t="shared" si="2"/>
        <v>19</v>
      </c>
      <c r="H16" s="8" t="str">
        <f t="shared" si="0"/>
        <v>Targeted support recommended on weaker domain (compare columns B and D).</v>
      </c>
    </row>
    <row r="17" spans="1:8" ht="30" customHeight="1" x14ac:dyDescent="0.3">
      <c r="A17" s="7" t="str">
        <f>Districts_Setup!$B$15</f>
        <v>Devbhoomi Dwarka</v>
      </c>
      <c r="B17" s="27">
        <f>'District_PGI-D_600'!R93</f>
        <v>55.126666666666679</v>
      </c>
      <c r="C17" s="24" t="str">
        <f>'District_PGI-D_600'!R94</f>
        <v>Prachesta-1</v>
      </c>
      <c r="D17" s="27">
        <f>Dashboard_PARAKH!E17*100</f>
        <v>45.980429292929294</v>
      </c>
      <c r="E17" s="27">
        <f t="shared" si="1"/>
        <v>50.553547979797983</v>
      </c>
      <c r="F17" s="24" t="str">
        <f>IFERROR(VLOOKUP(E17,Grading_Scale!$A$16:$B$20,2,TRUE()),"")</f>
        <v>Needs Improvement</v>
      </c>
      <c r="G17" s="24">
        <f t="shared" si="2"/>
        <v>12</v>
      </c>
      <c r="H17" s="8" t="str">
        <f t="shared" si="0"/>
        <v>Targeted support recommended on weaker domain (compare columns B and D).</v>
      </c>
    </row>
    <row r="18" spans="1:8" ht="30" customHeight="1" x14ac:dyDescent="0.3">
      <c r="A18" s="7" t="str">
        <f>Districts_Setup!$B$16</f>
        <v>Gandhinagar</v>
      </c>
      <c r="B18" s="27">
        <f>'District_PGI-D_600'!S93</f>
        <v>56.383333333333333</v>
      </c>
      <c r="C18" s="24" t="str">
        <f>'District_PGI-D_600'!S94</f>
        <v>Prachesta-1</v>
      </c>
      <c r="D18" s="27">
        <f>Dashboard_PARAKH!E18*100</f>
        <v>50.924242424242429</v>
      </c>
      <c r="E18" s="27">
        <f t="shared" si="1"/>
        <v>53.653787878787881</v>
      </c>
      <c r="F18" s="24" t="str">
        <f>IFERROR(VLOOKUP(E18,Grading_Scale!$A$16:$B$20,2,TRUE()),"")</f>
        <v>Needs Improvement</v>
      </c>
      <c r="G18" s="24">
        <f t="shared" si="2"/>
        <v>1</v>
      </c>
      <c r="H18" s="8" t="str">
        <f t="shared" si="0"/>
        <v>Targeted support recommended on weaker domain (compare columns B and D).</v>
      </c>
    </row>
    <row r="19" spans="1:8" ht="30" customHeight="1" x14ac:dyDescent="0.3">
      <c r="A19" s="7" t="str">
        <f>Districts_Setup!$B$17</f>
        <v>Gir Somnath</v>
      </c>
      <c r="B19" s="27">
        <f>'District_PGI-D_600'!T93</f>
        <v>53.553333333333327</v>
      </c>
      <c r="C19" s="24" t="str">
        <f>'District_PGI-D_600'!T94</f>
        <v>Prachesta-1</v>
      </c>
      <c r="D19" s="27">
        <f>Dashboard_PARAKH!E19*100</f>
        <v>41.321464646464648</v>
      </c>
      <c r="E19" s="27">
        <f t="shared" si="1"/>
        <v>47.437398989898988</v>
      </c>
      <c r="F19" s="24" t="str">
        <f>IFERROR(VLOOKUP(E19,Grading_Scale!$A$16:$B$20,2,TRUE()),"")</f>
        <v>Needs Improvement</v>
      </c>
      <c r="G19" s="24">
        <f t="shared" si="2"/>
        <v>32</v>
      </c>
      <c r="H19" s="8" t="str">
        <f t="shared" si="0"/>
        <v>Targeted support recommended on weaker domain (compare columns B and D).</v>
      </c>
    </row>
    <row r="20" spans="1:8" ht="30" customHeight="1" x14ac:dyDescent="0.3">
      <c r="A20" s="7" t="str">
        <f>Districts_Setup!$B$18</f>
        <v>Jamnagar</v>
      </c>
      <c r="B20" s="27">
        <f>'District_PGI-D_600'!U93</f>
        <v>51.669999999999995</v>
      </c>
      <c r="C20" s="24" t="str">
        <f>'District_PGI-D_600'!U94</f>
        <v>Prachesta-1</v>
      </c>
      <c r="D20" s="27">
        <f>Dashboard_PARAKH!E20*100</f>
        <v>43.570580808080805</v>
      </c>
      <c r="E20" s="27">
        <f t="shared" si="1"/>
        <v>47.620290404040404</v>
      </c>
      <c r="F20" s="24" t="str">
        <f>IFERROR(VLOOKUP(E20,Grading_Scale!$A$16:$B$20,2,TRUE()),"")</f>
        <v>Needs Improvement</v>
      </c>
      <c r="G20" s="24">
        <f t="shared" si="2"/>
        <v>30</v>
      </c>
      <c r="H20" s="8" t="str">
        <f t="shared" si="0"/>
        <v>Targeted support recommended on weaker domain (compare columns B and D).</v>
      </c>
    </row>
    <row r="21" spans="1:8" ht="30" customHeight="1" x14ac:dyDescent="0.3">
      <c r="A21" s="7" t="str">
        <f>Districts_Setup!$B$19</f>
        <v>Junagadh</v>
      </c>
      <c r="B21" s="27">
        <f>'District_PGI-D_600'!V93</f>
        <v>56.104999999999997</v>
      </c>
      <c r="C21" s="24" t="str">
        <f>'District_PGI-D_600'!V94</f>
        <v>Prachesta-1</v>
      </c>
      <c r="D21" s="27">
        <f>Dashboard_PARAKH!E21*100</f>
        <v>47.122601010101015</v>
      </c>
      <c r="E21" s="27">
        <f t="shared" si="1"/>
        <v>51.613800505050506</v>
      </c>
      <c r="F21" s="24" t="str">
        <f>IFERROR(VLOOKUP(E21,Grading_Scale!$A$16:$B$20,2,TRUE()),"")</f>
        <v>Needs Improvement</v>
      </c>
      <c r="G21" s="24">
        <f t="shared" si="2"/>
        <v>5</v>
      </c>
      <c r="H21" s="8" t="str">
        <f t="shared" si="0"/>
        <v>Targeted support recommended on weaker domain (compare columns B and D).</v>
      </c>
    </row>
    <row r="22" spans="1:8" ht="30" customHeight="1" x14ac:dyDescent="0.3">
      <c r="A22" s="7" t="str">
        <f>Districts_Setup!$B$20</f>
        <v>Kutch</v>
      </c>
      <c r="B22" s="27">
        <f>'District_PGI-D_600'!W93</f>
        <v>52.280000000000015</v>
      </c>
      <c r="C22" s="24" t="str">
        <f>'District_PGI-D_600'!W94</f>
        <v>Prachesta-1</v>
      </c>
      <c r="D22" s="27">
        <f>Dashboard_PARAKH!E22*100</f>
        <v>44.307449494949495</v>
      </c>
      <c r="E22" s="27">
        <f t="shared" si="1"/>
        <v>48.293724747474755</v>
      </c>
      <c r="F22" s="24" t="str">
        <f>IFERROR(VLOOKUP(E22,Grading_Scale!$A$16:$B$20,2,TRUE()),"")</f>
        <v>Needs Improvement</v>
      </c>
      <c r="G22" s="24">
        <f t="shared" si="2"/>
        <v>26</v>
      </c>
      <c r="H22" s="8" t="str">
        <f t="shared" si="0"/>
        <v>Targeted support recommended on weaker domain (compare columns B and D).</v>
      </c>
    </row>
    <row r="23" spans="1:8" ht="30" customHeight="1" x14ac:dyDescent="0.3">
      <c r="A23" s="7" t="str">
        <f>Districts_Setup!$B$21</f>
        <v>Kheda</v>
      </c>
      <c r="B23" s="27">
        <f>'District_PGI-D_600'!X93</f>
        <v>53.633333333333319</v>
      </c>
      <c r="C23" s="24" t="str">
        <f>'District_PGI-D_600'!X94</f>
        <v>Prachesta-1</v>
      </c>
      <c r="D23" s="27">
        <f>Dashboard_PARAKH!E23*100</f>
        <v>41.252146464646458</v>
      </c>
      <c r="E23" s="27">
        <f t="shared" si="1"/>
        <v>47.442739898989885</v>
      </c>
      <c r="F23" s="24" t="str">
        <f>IFERROR(VLOOKUP(E23,Grading_Scale!$A$16:$B$20,2,TRUE()),"")</f>
        <v>Needs Improvement</v>
      </c>
      <c r="G23" s="24">
        <f t="shared" si="2"/>
        <v>31</v>
      </c>
      <c r="H23" s="8" t="str">
        <f t="shared" si="0"/>
        <v>Targeted support recommended on weaker domain (compare columns B and D).</v>
      </c>
    </row>
    <row r="24" spans="1:8" ht="30" customHeight="1" x14ac:dyDescent="0.3">
      <c r="A24" s="7" t="str">
        <f>Districts_Setup!$B$22</f>
        <v>Mahisagar</v>
      </c>
      <c r="B24" s="27">
        <f>'District_PGI-D_600'!Y93</f>
        <v>54.586666666666673</v>
      </c>
      <c r="C24" s="24" t="str">
        <f>'District_PGI-D_600'!Y94</f>
        <v>Prachesta-1</v>
      </c>
      <c r="D24" s="27">
        <f>Dashboard_PARAKH!E24*100</f>
        <v>45.316287878787875</v>
      </c>
      <c r="E24" s="27">
        <f t="shared" si="1"/>
        <v>49.951477272727274</v>
      </c>
      <c r="F24" s="24" t="str">
        <f>IFERROR(VLOOKUP(E24,Grading_Scale!$A$16:$B$20,2,TRUE()),"")</f>
        <v>Needs Improvement</v>
      </c>
      <c r="G24" s="24">
        <f t="shared" si="2"/>
        <v>15</v>
      </c>
      <c r="H24" s="8" t="str">
        <f t="shared" si="0"/>
        <v>Targeted support recommended on weaker domain (compare columns B and D).</v>
      </c>
    </row>
    <row r="25" spans="1:8" ht="30" customHeight="1" x14ac:dyDescent="0.3">
      <c r="A25" s="7" t="str">
        <f>Districts_Setup!$B$23</f>
        <v>Mehsana</v>
      </c>
      <c r="B25" s="27">
        <f>'District_PGI-D_600'!Z93</f>
        <v>56.458333333333336</v>
      </c>
      <c r="C25" s="24" t="str">
        <f>'District_PGI-D_600'!Z94</f>
        <v>Prachesta-1</v>
      </c>
      <c r="D25" s="27">
        <f>Dashboard_PARAKH!E25*100</f>
        <v>45.659848484848489</v>
      </c>
      <c r="E25" s="27">
        <f t="shared" si="1"/>
        <v>51.059090909090912</v>
      </c>
      <c r="F25" s="24" t="str">
        <f>IFERROR(VLOOKUP(E25,Grading_Scale!$A$16:$B$20,2,TRUE()),"")</f>
        <v>Needs Improvement</v>
      </c>
      <c r="G25" s="24">
        <f t="shared" si="2"/>
        <v>7</v>
      </c>
      <c r="H25" s="8" t="str">
        <f t="shared" si="0"/>
        <v>Targeted support recommended on weaker domain (compare columns B and D).</v>
      </c>
    </row>
    <row r="26" spans="1:8" ht="30" customHeight="1" x14ac:dyDescent="0.3">
      <c r="A26" s="7" t="str">
        <f>Districts_Setup!$B$24</f>
        <v>Morbi</v>
      </c>
      <c r="B26" s="27">
        <f>'District_PGI-D_600'!AA93</f>
        <v>53.22</v>
      </c>
      <c r="C26" s="24" t="str">
        <f>'District_PGI-D_600'!AA94</f>
        <v>Prachesta-1</v>
      </c>
      <c r="D26" s="27">
        <f>Dashboard_PARAKH!E26*100</f>
        <v>45.808838383838385</v>
      </c>
      <c r="E26" s="27">
        <f t="shared" si="1"/>
        <v>49.514419191919188</v>
      </c>
      <c r="F26" s="24" t="str">
        <f>IFERROR(VLOOKUP(E26,Grading_Scale!$A$16:$B$20,2,TRUE()),"")</f>
        <v>Needs Improvement</v>
      </c>
      <c r="G26" s="24">
        <f t="shared" si="2"/>
        <v>17</v>
      </c>
      <c r="H26" s="8" t="str">
        <f t="shared" si="0"/>
        <v>Targeted support recommended on weaker domain (compare columns B and D).</v>
      </c>
    </row>
    <row r="27" spans="1:8" ht="30" customHeight="1" x14ac:dyDescent="0.3">
      <c r="A27" s="7" t="str">
        <f>Districts_Setup!$B$25</f>
        <v>Narmada</v>
      </c>
      <c r="B27" s="27">
        <f>'District_PGI-D_600'!AB93</f>
        <v>54.504999999999995</v>
      </c>
      <c r="C27" s="24" t="str">
        <f>'District_PGI-D_600'!AB94</f>
        <v>Prachesta-1</v>
      </c>
      <c r="D27" s="27">
        <f>Dashboard_PARAKH!E27*100</f>
        <v>44.519696969696973</v>
      </c>
      <c r="E27" s="27">
        <f t="shared" si="1"/>
        <v>49.512348484848488</v>
      </c>
      <c r="F27" s="24" t="str">
        <f>IFERROR(VLOOKUP(E27,Grading_Scale!$A$16:$B$20,2,TRUE()),"")</f>
        <v>Needs Improvement</v>
      </c>
      <c r="G27" s="24">
        <f t="shared" si="2"/>
        <v>18</v>
      </c>
      <c r="H27" s="8" t="str">
        <f t="shared" si="0"/>
        <v>Targeted support recommended on weaker domain (compare columns B and D).</v>
      </c>
    </row>
    <row r="28" spans="1:8" ht="30" customHeight="1" x14ac:dyDescent="0.3">
      <c r="A28" s="7" t="str">
        <f>Districts_Setup!$B$26</f>
        <v>Navsari</v>
      </c>
      <c r="B28" s="27">
        <f>'District_PGI-D_600'!AC93</f>
        <v>57.57</v>
      </c>
      <c r="C28" s="24" t="str">
        <f>'District_PGI-D_600'!AC94</f>
        <v>Prachesta-1</v>
      </c>
      <c r="D28" s="27">
        <f>Dashboard_PARAKH!E28*100</f>
        <v>45.888762626262626</v>
      </c>
      <c r="E28" s="27">
        <f t="shared" si="1"/>
        <v>51.729381313131313</v>
      </c>
      <c r="F28" s="24" t="str">
        <f>IFERROR(VLOOKUP(E28,Grading_Scale!$A$16:$B$20,2,TRUE()),"")</f>
        <v>Needs Improvement</v>
      </c>
      <c r="G28" s="24">
        <f t="shared" si="2"/>
        <v>4</v>
      </c>
      <c r="H28" s="8" t="str">
        <f t="shared" si="0"/>
        <v>Targeted support recommended on weaker domain (compare columns B and D).</v>
      </c>
    </row>
    <row r="29" spans="1:8" ht="30" customHeight="1" x14ac:dyDescent="0.3">
      <c r="A29" s="7" t="str">
        <f>Districts_Setup!$B$27</f>
        <v>Panchmahal</v>
      </c>
      <c r="B29" s="27">
        <f>'District_PGI-D_600'!AD93</f>
        <v>54.516666666666666</v>
      </c>
      <c r="C29" s="24" t="str">
        <f>'District_PGI-D_600'!AD94</f>
        <v>Prachesta-1</v>
      </c>
      <c r="D29" s="27">
        <f>Dashboard_PARAKH!E29*100</f>
        <v>45.463888888888896</v>
      </c>
      <c r="E29" s="27">
        <f t="shared" si="1"/>
        <v>49.990277777777777</v>
      </c>
      <c r="F29" s="24" t="str">
        <f>IFERROR(VLOOKUP(E29,Grading_Scale!$A$16:$B$20,2,TRUE()),"")</f>
        <v>Needs Improvement</v>
      </c>
      <c r="G29" s="24">
        <f t="shared" si="2"/>
        <v>14</v>
      </c>
      <c r="H29" s="8" t="str">
        <f t="shared" si="0"/>
        <v>Targeted support recommended on weaker domain (compare columns B and D).</v>
      </c>
    </row>
    <row r="30" spans="1:8" ht="30" customHeight="1" x14ac:dyDescent="0.3">
      <c r="A30" s="7" t="str">
        <f>Districts_Setup!$B$28</f>
        <v>Patan</v>
      </c>
      <c r="B30" s="27">
        <f>'District_PGI-D_600'!AE93</f>
        <v>53.975000000000009</v>
      </c>
      <c r="C30" s="24" t="str">
        <f>'District_PGI-D_600'!AE94</f>
        <v>Prachesta-1</v>
      </c>
      <c r="D30" s="27">
        <f>Dashboard_PARAKH!E30*100</f>
        <v>44.467424242424244</v>
      </c>
      <c r="E30" s="27">
        <f t="shared" si="1"/>
        <v>49.221212121212126</v>
      </c>
      <c r="F30" s="24" t="str">
        <f>IFERROR(VLOOKUP(E30,Grading_Scale!$A$16:$B$20,2,TRUE()),"")</f>
        <v>Needs Improvement</v>
      </c>
      <c r="G30" s="24">
        <f t="shared" si="2"/>
        <v>21</v>
      </c>
      <c r="H30" s="8" t="str">
        <f t="shared" si="0"/>
        <v>Targeted support recommended on weaker domain (compare columns B and D).</v>
      </c>
    </row>
    <row r="31" spans="1:8" ht="30" customHeight="1" x14ac:dyDescent="0.3">
      <c r="A31" s="7" t="str">
        <f>Districts_Setup!$B$29</f>
        <v>Porbandar</v>
      </c>
      <c r="B31" s="27">
        <f>'District_PGI-D_600'!AF93</f>
        <v>53.505000000000003</v>
      </c>
      <c r="C31" s="24" t="str">
        <f>'District_PGI-D_600'!AF94</f>
        <v>Prachesta-1</v>
      </c>
      <c r="D31" s="27">
        <f>Dashboard_PARAKH!E31*100</f>
        <v>43.335732323232328</v>
      </c>
      <c r="E31" s="27">
        <f t="shared" si="1"/>
        <v>48.420366161616165</v>
      </c>
      <c r="F31" s="24" t="str">
        <f>IFERROR(VLOOKUP(E31,Grading_Scale!$A$16:$B$20,2,TRUE()),"")</f>
        <v>Needs Improvement</v>
      </c>
      <c r="G31" s="24">
        <f t="shared" si="2"/>
        <v>25</v>
      </c>
      <c r="H31" s="8" t="str">
        <f t="shared" si="0"/>
        <v>Targeted support recommended on weaker domain (compare columns B and D).</v>
      </c>
    </row>
    <row r="32" spans="1:8" ht="30" customHeight="1" x14ac:dyDescent="0.3">
      <c r="A32" s="7" t="str">
        <f>Districts_Setup!$B$30</f>
        <v>Rajkot</v>
      </c>
      <c r="B32" s="27">
        <f>'District_PGI-D_600'!AG93</f>
        <v>53.696666666666673</v>
      </c>
      <c r="C32" s="24" t="str">
        <f>'District_PGI-D_600'!AG94</f>
        <v>Prachesta-1</v>
      </c>
      <c r="D32" s="27">
        <f>Dashboard_PARAKH!E32*100</f>
        <v>45.930050505050509</v>
      </c>
      <c r="E32" s="27">
        <f t="shared" si="1"/>
        <v>49.813358585858595</v>
      </c>
      <c r="F32" s="24" t="str">
        <f>IFERROR(VLOOKUP(E32,Grading_Scale!$A$16:$B$20,2,TRUE()),"")</f>
        <v>Needs Improvement</v>
      </c>
      <c r="G32" s="24">
        <f t="shared" si="2"/>
        <v>16</v>
      </c>
      <c r="H32" s="8" t="str">
        <f t="shared" si="0"/>
        <v>Targeted support recommended on weaker domain (compare columns B and D).</v>
      </c>
    </row>
    <row r="33" spans="1:8" ht="30" customHeight="1" x14ac:dyDescent="0.3">
      <c r="A33" s="7" t="str">
        <f>Districts_Setup!$B$31</f>
        <v>Sabarkantha</v>
      </c>
      <c r="B33" s="27">
        <f>'District_PGI-D_600'!AH93</f>
        <v>55.273333333333326</v>
      </c>
      <c r="C33" s="24" t="str">
        <f>'District_PGI-D_600'!AH94</f>
        <v>Prachesta-1</v>
      </c>
      <c r="D33" s="27">
        <f>Dashboard_PARAKH!E33*100</f>
        <v>46.602020202020199</v>
      </c>
      <c r="E33" s="27">
        <f t="shared" si="1"/>
        <v>50.937676767676763</v>
      </c>
      <c r="F33" s="24" t="str">
        <f>IFERROR(VLOOKUP(E33,Grading_Scale!$A$16:$B$20,2,TRUE()),"")</f>
        <v>Needs Improvement</v>
      </c>
      <c r="G33" s="24">
        <f t="shared" si="2"/>
        <v>8</v>
      </c>
      <c r="H33" s="8" t="str">
        <f t="shared" si="0"/>
        <v>Targeted support recommended on weaker domain (compare columns B and D).</v>
      </c>
    </row>
    <row r="34" spans="1:8" ht="30" customHeight="1" x14ac:dyDescent="0.3">
      <c r="A34" s="7" t="str">
        <f>Districts_Setup!$B$32</f>
        <v>Surat</v>
      </c>
      <c r="B34" s="27">
        <f>'District_PGI-D_600'!AI93</f>
        <v>54.495000000000005</v>
      </c>
      <c r="C34" s="24" t="str">
        <f>'District_PGI-D_600'!AI94</f>
        <v>Prachesta-1</v>
      </c>
      <c r="D34" s="27">
        <f>Dashboard_PARAKH!E34*100</f>
        <v>47.056439393939399</v>
      </c>
      <c r="E34" s="27">
        <f t="shared" si="1"/>
        <v>50.775719696969702</v>
      </c>
      <c r="F34" s="24" t="str">
        <f>IFERROR(VLOOKUP(E34,Grading_Scale!$A$16:$B$20,2,TRUE()),"")</f>
        <v>Needs Improvement</v>
      </c>
      <c r="G34" s="24">
        <f t="shared" si="2"/>
        <v>11</v>
      </c>
      <c r="H34" s="8" t="str">
        <f t="shared" si="0"/>
        <v>Targeted support recommended on weaker domain (compare columns B and D).</v>
      </c>
    </row>
    <row r="35" spans="1:8" ht="30" customHeight="1" x14ac:dyDescent="0.3">
      <c r="A35" s="7" t="str">
        <f>Districts_Setup!$B$33</f>
        <v>Surendranagar</v>
      </c>
      <c r="B35" s="27">
        <f>'District_PGI-D_600'!AJ93</f>
        <v>55.133333333333333</v>
      </c>
      <c r="C35" s="24" t="str">
        <f>'District_PGI-D_600'!AJ94</f>
        <v>Prachesta-1</v>
      </c>
      <c r="D35" s="27">
        <f>Dashboard_PARAKH!E35*100</f>
        <v>47.6165404040404</v>
      </c>
      <c r="E35" s="27">
        <f t="shared" si="1"/>
        <v>51.374936868686866</v>
      </c>
      <c r="F35" s="24" t="str">
        <f>IFERROR(VLOOKUP(E35,Grading_Scale!$A$16:$B$20,2,TRUE()),"")</f>
        <v>Needs Improvement</v>
      </c>
      <c r="G35" s="24">
        <f t="shared" si="2"/>
        <v>6</v>
      </c>
      <c r="H35" s="8" t="str">
        <f t="shared" si="0"/>
        <v>Targeted support recommended on weaker domain (compare columns B and D).</v>
      </c>
    </row>
    <row r="36" spans="1:8" ht="30" customHeight="1" x14ac:dyDescent="0.3">
      <c r="A36" s="7" t="str">
        <f>Districts_Setup!$B$34</f>
        <v>Tapi</v>
      </c>
      <c r="B36" s="27">
        <f>'District_PGI-D_600'!AK93</f>
        <v>57.155000000000001</v>
      </c>
      <c r="C36" s="24" t="str">
        <f>'District_PGI-D_600'!AK94</f>
        <v>Prachesta-1</v>
      </c>
      <c r="D36" s="27">
        <f>Dashboard_PARAKH!E36*100</f>
        <v>48.749873737373733</v>
      </c>
      <c r="E36" s="27">
        <f t="shared" si="1"/>
        <v>52.952436868686867</v>
      </c>
      <c r="F36" s="24" t="str">
        <f>IFERROR(VLOOKUP(E36,Grading_Scale!$A$16:$B$20,2,TRUE()),"")</f>
        <v>Needs Improvement</v>
      </c>
      <c r="G36" s="24">
        <f t="shared" si="2"/>
        <v>2</v>
      </c>
      <c r="H36" s="8" t="str">
        <f t="shared" si="0"/>
        <v>Targeted support recommended on weaker domain (compare columns B and D).</v>
      </c>
    </row>
    <row r="37" spans="1:8" ht="30" customHeight="1" x14ac:dyDescent="0.3">
      <c r="A37" s="7" t="str">
        <f>Districts_Setup!$B$35</f>
        <v>Vadodara</v>
      </c>
      <c r="B37" s="27">
        <f>'District_PGI-D_600'!AL93</f>
        <v>55.554999999999986</v>
      </c>
      <c r="C37" s="24" t="str">
        <f>'District_PGI-D_600'!AL94</f>
        <v>Prachesta-1</v>
      </c>
      <c r="D37" s="27">
        <f>Dashboard_PARAKH!E37*100</f>
        <v>46.031818181818181</v>
      </c>
      <c r="E37" s="27">
        <f t="shared" si="1"/>
        <v>50.79340909090908</v>
      </c>
      <c r="F37" s="24" t="str">
        <f>IFERROR(VLOOKUP(E37,Grading_Scale!$A$16:$B$20,2,TRUE()),"")</f>
        <v>Needs Improvement</v>
      </c>
      <c r="G37" s="24">
        <f t="shared" si="2"/>
        <v>10</v>
      </c>
      <c r="H37" s="8" t="str">
        <f t="shared" si="0"/>
        <v>Targeted support recommended on weaker domain (compare columns B and D).</v>
      </c>
    </row>
    <row r="38" spans="1:8" ht="30" customHeight="1" x14ac:dyDescent="0.3">
      <c r="A38" s="7" t="str">
        <f>Districts_Setup!$B$36</f>
        <v>Valsad</v>
      </c>
      <c r="B38" s="27">
        <f>'District_PGI-D_600'!AM93</f>
        <v>54.368333333333332</v>
      </c>
      <c r="C38" s="24" t="str">
        <f>'District_PGI-D_600'!AM94</f>
        <v>Prachesta-1</v>
      </c>
      <c r="D38" s="27">
        <f>Dashboard_PARAKH!E38*100</f>
        <v>46.200505050505051</v>
      </c>
      <c r="E38" s="27">
        <f t="shared" si="1"/>
        <v>50.284419191919191</v>
      </c>
      <c r="F38" s="24" t="str">
        <f>IFERROR(VLOOKUP(E38,Grading_Scale!$A$16:$B$20,2,TRUE()),"")</f>
        <v>Needs Improvement</v>
      </c>
      <c r="G38" s="24">
        <f t="shared" si="2"/>
        <v>13</v>
      </c>
      <c r="H38" s="8" t="str">
        <f t="shared" si="0"/>
        <v>Targeted support recommended on weaker domain (compare columns B and D).</v>
      </c>
    </row>
    <row r="40" spans="1:8" x14ac:dyDescent="0.3">
      <c r="A40" s="28" t="s">
        <v>732</v>
      </c>
    </row>
    <row r="41" spans="1:8" x14ac:dyDescent="0.3">
      <c r="A41" s="72" t="s">
        <v>733</v>
      </c>
      <c r="B41" s="44">
        <f>COUNTIF(F6:F38,"Low Performing")</f>
        <v>0</v>
      </c>
    </row>
    <row r="42" spans="1:8" x14ac:dyDescent="0.3">
      <c r="A42" s="73" t="s">
        <v>734</v>
      </c>
      <c r="B42" s="44">
        <f>COUNTIF(F6:F38,"Needs Improvement")</f>
        <v>33</v>
      </c>
    </row>
    <row r="43" spans="1:8" x14ac:dyDescent="0.3">
      <c r="A43" s="74" t="s">
        <v>735</v>
      </c>
      <c r="B43" s="44">
        <f>COUNTIF(F6:F38,"Average")</f>
        <v>0</v>
      </c>
    </row>
    <row r="44" spans="1:8" x14ac:dyDescent="0.3">
      <c r="A44" s="75" t="s">
        <v>736</v>
      </c>
      <c r="B44" s="44">
        <f>COUNTIF(F6:F38,"Good")</f>
        <v>0</v>
      </c>
    </row>
    <row r="45" spans="1:8" x14ac:dyDescent="0.3">
      <c r="A45" s="76" t="s">
        <v>737</v>
      </c>
      <c r="B45" s="44">
        <f>COUNTIF(F6:F38,"High Performing")</f>
        <v>0</v>
      </c>
    </row>
  </sheetData>
  <mergeCells count="2">
    <mergeCell ref="A1:H1"/>
    <mergeCell ref="A2:H2"/>
  </mergeCells>
  <conditionalFormatting sqref="F6:F38">
    <cfRule type="cellIs" dxfId="4" priority="2" operator="equal">
      <formula>"Low Performing"</formula>
    </cfRule>
    <cfRule type="cellIs" dxfId="3" priority="3" operator="equal">
      <formula>"Needs Improvement"</formula>
    </cfRule>
    <cfRule type="cellIs" dxfId="2" priority="4" operator="equal">
      <formula>"Average"</formula>
    </cfRule>
    <cfRule type="cellIs" dxfId="1" priority="5" operator="equal">
      <formula>"Good"</formula>
    </cfRule>
    <cfRule type="cellIs" dxfId="0" priority="6" operator="equal">
      <formula>"High Performing"</formula>
    </cfRule>
  </conditionalFormatting>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0"/>
  <sheetViews>
    <sheetView showGridLines="0" zoomScaleNormal="100" workbookViewId="0">
      <selection activeCell="B8" sqref="B8"/>
    </sheetView>
  </sheetViews>
  <sheetFormatPr defaultColWidth="8.6640625" defaultRowHeight="14.4" x14ac:dyDescent="0.3"/>
  <cols>
    <col min="1" max="2" width="14" customWidth="1"/>
    <col min="3" max="3" width="12" customWidth="1"/>
    <col min="4" max="4" width="50" customWidth="1"/>
  </cols>
  <sheetData>
    <row r="1" spans="1:4" ht="24" customHeight="1" x14ac:dyDescent="0.3">
      <c r="A1" s="106" t="s">
        <v>738</v>
      </c>
      <c r="B1" s="106"/>
      <c r="C1" s="106"/>
      <c r="D1" s="106"/>
    </row>
    <row r="2" spans="1:4" x14ac:dyDescent="0.3">
      <c r="A2" s="1" t="s">
        <v>739</v>
      </c>
      <c r="B2" s="1" t="s">
        <v>740</v>
      </c>
      <c r="C2" s="1" t="s">
        <v>741</v>
      </c>
      <c r="D2" s="1" t="s">
        <v>742</v>
      </c>
    </row>
    <row r="3" spans="1:4" x14ac:dyDescent="0.3">
      <c r="A3" s="3">
        <v>0</v>
      </c>
      <c r="B3" s="3" t="s">
        <v>743</v>
      </c>
      <c r="C3" s="3" t="s">
        <v>744</v>
      </c>
      <c r="D3" s="2" t="s">
        <v>115</v>
      </c>
    </row>
    <row r="4" spans="1:4" x14ac:dyDescent="0.3">
      <c r="A4" s="3">
        <v>11</v>
      </c>
      <c r="B4" s="3" t="s">
        <v>745</v>
      </c>
      <c r="C4" s="3" t="s">
        <v>746</v>
      </c>
      <c r="D4" s="2" t="s">
        <v>117</v>
      </c>
    </row>
    <row r="5" spans="1:4" x14ac:dyDescent="0.3">
      <c r="A5" s="3">
        <v>21</v>
      </c>
      <c r="B5" s="3" t="s">
        <v>747</v>
      </c>
      <c r="C5" s="3" t="s">
        <v>748</v>
      </c>
      <c r="D5" s="2" t="s">
        <v>119</v>
      </c>
    </row>
    <row r="6" spans="1:4" x14ac:dyDescent="0.3">
      <c r="A6" s="3">
        <v>31</v>
      </c>
      <c r="B6" s="3" t="s">
        <v>749</v>
      </c>
      <c r="C6" s="3" t="s">
        <v>750</v>
      </c>
      <c r="D6" s="2" t="s">
        <v>121</v>
      </c>
    </row>
    <row r="7" spans="1:4" x14ac:dyDescent="0.3">
      <c r="A7" s="3">
        <v>41</v>
      </c>
      <c r="B7" s="3" t="s">
        <v>751</v>
      </c>
      <c r="C7" s="3" t="s">
        <v>752</v>
      </c>
      <c r="D7" s="2" t="s">
        <v>123</v>
      </c>
    </row>
    <row r="8" spans="1:4" x14ac:dyDescent="0.3">
      <c r="A8" s="3">
        <v>51</v>
      </c>
      <c r="B8" s="3" t="s">
        <v>753</v>
      </c>
      <c r="C8" s="3" t="s">
        <v>754</v>
      </c>
      <c r="D8" s="2" t="s">
        <v>125</v>
      </c>
    </row>
    <row r="9" spans="1:4" x14ac:dyDescent="0.3">
      <c r="A9" s="3">
        <v>61</v>
      </c>
      <c r="B9" s="3" t="s">
        <v>755</v>
      </c>
      <c r="C9" s="3" t="s">
        <v>756</v>
      </c>
      <c r="D9" s="2" t="s">
        <v>127</v>
      </c>
    </row>
    <row r="10" spans="1:4" x14ac:dyDescent="0.3">
      <c r="A10" s="3">
        <v>71</v>
      </c>
      <c r="B10" s="3" t="s">
        <v>757</v>
      </c>
      <c r="C10" s="3" t="s">
        <v>758</v>
      </c>
      <c r="D10" s="2" t="s">
        <v>129</v>
      </c>
    </row>
    <row r="11" spans="1:4" x14ac:dyDescent="0.3">
      <c r="A11" s="3">
        <v>81</v>
      </c>
      <c r="B11" s="3" t="s">
        <v>759</v>
      </c>
      <c r="C11" s="3" t="s">
        <v>760</v>
      </c>
      <c r="D11" s="2" t="s">
        <v>131</v>
      </c>
    </row>
    <row r="12" spans="1:4" x14ac:dyDescent="0.3">
      <c r="A12" s="3">
        <v>91</v>
      </c>
      <c r="B12" s="3" t="s">
        <v>761</v>
      </c>
      <c r="C12" s="3" t="s">
        <v>762</v>
      </c>
      <c r="D12" s="2" t="s">
        <v>133</v>
      </c>
    </row>
    <row r="15" spans="1:4" x14ac:dyDescent="0.3">
      <c r="A15" s="4" t="s">
        <v>763</v>
      </c>
      <c r="B15" s="4" t="s">
        <v>729</v>
      </c>
    </row>
    <row r="16" spans="1:4" x14ac:dyDescent="0.3">
      <c r="A16" s="5">
        <v>0</v>
      </c>
      <c r="B16" s="5" t="s">
        <v>733</v>
      </c>
    </row>
    <row r="17" spans="1:2" x14ac:dyDescent="0.3">
      <c r="A17" s="5">
        <v>40</v>
      </c>
      <c r="B17" s="5" t="s">
        <v>734</v>
      </c>
    </row>
    <row r="18" spans="1:2" x14ac:dyDescent="0.3">
      <c r="A18" s="5">
        <v>60</v>
      </c>
      <c r="B18" s="5" t="s">
        <v>735</v>
      </c>
    </row>
    <row r="19" spans="1:2" x14ac:dyDescent="0.3">
      <c r="A19" s="5">
        <v>75</v>
      </c>
      <c r="B19" s="5" t="s">
        <v>736</v>
      </c>
    </row>
    <row r="20" spans="1:2" x14ac:dyDescent="0.3">
      <c r="A20" s="5">
        <v>90</v>
      </c>
      <c r="B20" s="5" t="s">
        <v>737</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ReadMe</vt:lpstr>
      <vt:lpstr>Glossary</vt:lpstr>
      <vt:lpstr>Districts_Setup</vt:lpstr>
      <vt:lpstr>State_PGI_2.0</vt:lpstr>
      <vt:lpstr>District_PGI-D_600</vt:lpstr>
      <vt:lpstr>PARAKH_Foundational_G3</vt:lpstr>
      <vt:lpstr>PARAKH_Preparatory_G6</vt:lpstr>
      <vt:lpstr>PARAKH_Middle_G9</vt:lpstr>
      <vt:lpstr>PARAKH_Subject_Performance</vt:lpstr>
      <vt:lpstr>PARAKH_By_Gender</vt:lpstr>
      <vt:lpstr>PARAKH_By_Location</vt:lpstr>
      <vt:lpstr>PARAKH_By_Management</vt:lpstr>
      <vt:lpstr>PARAKH_By_SocialGroup</vt:lpstr>
      <vt:lpstr>PARAKH_Contextual_School</vt:lpstr>
      <vt:lpstr>PARAKH_Contextual_Teacher</vt:lpstr>
      <vt:lpstr>PARAKH_Contextual_Pupil_G3</vt:lpstr>
      <vt:lpstr>PARAKH_Contextual_Pupil_G6</vt:lpstr>
      <vt:lpstr>PARAKH_Contextual_Pupil_G9</vt:lpstr>
      <vt:lpstr>Dashboard_PGI</vt:lpstr>
      <vt:lpstr>Dashboard_PARAKH</vt:lpstr>
      <vt:lpstr>Combined_Performance_Ranking</vt:lpstr>
      <vt:lpstr>Grading_Scale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Jayendrasinh Tank</cp:lastModifiedBy>
  <cp:revision>1</cp:revision>
  <dcterms:created xsi:type="dcterms:W3CDTF">2026-06-21T16:33:35Z</dcterms:created>
  <dcterms:modified xsi:type="dcterms:W3CDTF">2026-07-01T10:33:25Z</dcterms:modified>
  <dc:language>en-US</dc:language>
</cp:coreProperties>
</file>